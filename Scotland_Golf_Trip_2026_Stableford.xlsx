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androo/Library/Application Support/Claude/local-agent-mode-sessions/df202325-bd9e-4af8-92a1-0f21fb509f58/6efdc80b-5bba-44d0-9160-8d12888aa76f/local_3319bd0d-d1af-48b3-b974-266986dbc7d9/outputs/"/>
    </mc:Choice>
  </mc:AlternateContent>
  <xr:revisionPtr revIDLastSave="0" documentId="13_ncr:1_{32F5DE2C-7DA7-934F-B091-55DE54811819}" xr6:coauthVersionLast="47" xr6:coauthVersionMax="47" xr10:uidLastSave="{00000000-0000-0000-0000-000000000000}"/>
  <bookViews>
    <workbookView xWindow="0" yWindow="660" windowWidth="26180" windowHeight="18700" tabRatio="500" activeTab="3" xr2:uid="{00000000-000D-0000-FFFF-FFFF00000000}"/>
  </bookViews>
  <sheets>
    <sheet name="Rules" sheetId="1" r:id="rId1"/>
    <sheet name="Players" sheetId="2" r:id="rId2"/>
    <sheet name="Course Handicaps" sheetId="3" r:id="rId3"/>
    <sheet name="Rd1 - Eden" sheetId="4" r:id="rId4"/>
    <sheet name="Rd2 - Old Course" sheetId="5" r:id="rId5"/>
    <sheet name="Rd2 Alt - Leven" sheetId="6" r:id="rId6"/>
    <sheet name="Rd3 - Crail" sheetId="7" r:id="rId7"/>
    <sheet name="Rd4 - Craigtoun" sheetId="8" r:id="rId8"/>
    <sheet name="Leaderboard"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28" i="8" l="1"/>
  <c r="T28" i="8"/>
  <c r="S28" i="8"/>
  <c r="R28" i="8"/>
  <c r="Q28" i="8"/>
  <c r="P28" i="8"/>
  <c r="O28" i="8"/>
  <c r="N28" i="8"/>
  <c r="M28" i="8"/>
  <c r="V28" i="8" s="1"/>
  <c r="K28" i="8"/>
  <c r="J28" i="8"/>
  <c r="I28" i="8"/>
  <c r="H28" i="8"/>
  <c r="G28" i="8"/>
  <c r="F28" i="8"/>
  <c r="E28" i="8"/>
  <c r="D28" i="8"/>
  <c r="C28" i="8"/>
  <c r="L28" i="8" s="1"/>
  <c r="W28" i="8" s="1"/>
  <c r="G11" i="9" s="1"/>
  <c r="V26" i="8"/>
  <c r="L26" i="8"/>
  <c r="W26" i="8" s="1"/>
  <c r="U25" i="8"/>
  <c r="T25" i="8"/>
  <c r="S25" i="8"/>
  <c r="R25" i="8"/>
  <c r="Q25" i="8"/>
  <c r="P25" i="8"/>
  <c r="O25" i="8"/>
  <c r="N25" i="8"/>
  <c r="M25" i="8"/>
  <c r="V25" i="8" s="1"/>
  <c r="K25" i="8"/>
  <c r="J25" i="8"/>
  <c r="I25" i="8"/>
  <c r="H25" i="8"/>
  <c r="G25" i="8"/>
  <c r="F25" i="8"/>
  <c r="E25" i="8"/>
  <c r="D25" i="8"/>
  <c r="C25" i="8"/>
  <c r="L25" i="8" s="1"/>
  <c r="W25" i="8" s="1"/>
  <c r="G10" i="9" s="1"/>
  <c r="V23" i="8"/>
  <c r="L23" i="8"/>
  <c r="W23" i="8" s="1"/>
  <c r="U22" i="8"/>
  <c r="T22" i="8"/>
  <c r="S22" i="8"/>
  <c r="R22" i="8"/>
  <c r="Q22" i="8"/>
  <c r="P22" i="8"/>
  <c r="O22" i="8"/>
  <c r="N22" i="8"/>
  <c r="M22" i="8"/>
  <c r="V22" i="8" s="1"/>
  <c r="K22" i="8"/>
  <c r="J22" i="8"/>
  <c r="I22" i="8"/>
  <c r="H22" i="8"/>
  <c r="G22" i="8"/>
  <c r="F22" i="8"/>
  <c r="E22" i="8"/>
  <c r="D22" i="8"/>
  <c r="C22" i="8"/>
  <c r="L22" i="8" s="1"/>
  <c r="W22" i="8" s="1"/>
  <c r="G9" i="9" s="1"/>
  <c r="V20" i="8"/>
  <c r="L20" i="8"/>
  <c r="W20" i="8" s="1"/>
  <c r="U19" i="8"/>
  <c r="T19" i="8"/>
  <c r="S19" i="8"/>
  <c r="R19" i="8"/>
  <c r="Q19" i="8"/>
  <c r="P19" i="8"/>
  <c r="O19" i="8"/>
  <c r="N19" i="8"/>
  <c r="M19" i="8"/>
  <c r="V19" i="8" s="1"/>
  <c r="K19" i="8"/>
  <c r="J19" i="8"/>
  <c r="I19" i="8"/>
  <c r="H19" i="8"/>
  <c r="G19" i="8"/>
  <c r="F19" i="8"/>
  <c r="E19" i="8"/>
  <c r="D19" i="8"/>
  <c r="C19" i="8"/>
  <c r="L19" i="8" s="1"/>
  <c r="W19" i="8" s="1"/>
  <c r="G8" i="9" s="1"/>
  <c r="V17" i="8"/>
  <c r="L17" i="8"/>
  <c r="W17" i="8" s="1"/>
  <c r="U16" i="8"/>
  <c r="T16" i="8"/>
  <c r="S16" i="8"/>
  <c r="R16" i="8"/>
  <c r="Q16" i="8"/>
  <c r="P16" i="8"/>
  <c r="O16" i="8"/>
  <c r="N16" i="8"/>
  <c r="M16" i="8"/>
  <c r="V16" i="8" s="1"/>
  <c r="K16" i="8"/>
  <c r="J16" i="8"/>
  <c r="I16" i="8"/>
  <c r="L16" i="8" s="1"/>
  <c r="W16" i="8" s="1"/>
  <c r="G7" i="9" s="1"/>
  <c r="H16" i="8"/>
  <c r="G16" i="8"/>
  <c r="F16" i="8"/>
  <c r="E16" i="8"/>
  <c r="D16" i="8"/>
  <c r="C16" i="8"/>
  <c r="V14" i="8"/>
  <c r="L14" i="8"/>
  <c r="W14" i="8" s="1"/>
  <c r="U13" i="8"/>
  <c r="T13" i="8"/>
  <c r="S13" i="8"/>
  <c r="R13" i="8"/>
  <c r="Q13" i="8"/>
  <c r="P13" i="8"/>
  <c r="O13" i="8"/>
  <c r="N13" i="8"/>
  <c r="M13" i="8"/>
  <c r="V13" i="8" s="1"/>
  <c r="K13" i="8"/>
  <c r="J13" i="8"/>
  <c r="I13" i="8"/>
  <c r="H13" i="8"/>
  <c r="G13" i="8"/>
  <c r="F13" i="8"/>
  <c r="E13" i="8"/>
  <c r="D13" i="8"/>
  <c r="C13" i="8"/>
  <c r="L13" i="8" s="1"/>
  <c r="W13" i="8" s="1"/>
  <c r="G6" i="9" s="1"/>
  <c r="V11" i="8"/>
  <c r="L11" i="8"/>
  <c r="W11" i="8" s="1"/>
  <c r="U10" i="8"/>
  <c r="T10" i="8"/>
  <c r="S10" i="8"/>
  <c r="R10" i="8"/>
  <c r="Q10" i="8"/>
  <c r="P10" i="8"/>
  <c r="O10" i="8"/>
  <c r="N10" i="8"/>
  <c r="M10" i="8"/>
  <c r="V10" i="8" s="1"/>
  <c r="K10" i="8"/>
  <c r="J10" i="8"/>
  <c r="I10" i="8"/>
  <c r="H10" i="8"/>
  <c r="G10" i="8"/>
  <c r="F10" i="8"/>
  <c r="E10" i="8"/>
  <c r="D10" i="8"/>
  <c r="C10" i="8"/>
  <c r="L10" i="8" s="1"/>
  <c r="V8" i="8"/>
  <c r="L8" i="8"/>
  <c r="W8" i="8" s="1"/>
  <c r="U7" i="8"/>
  <c r="T7" i="8"/>
  <c r="S7" i="8"/>
  <c r="R7" i="8"/>
  <c r="Q7" i="8"/>
  <c r="P7" i="8"/>
  <c r="O7" i="8"/>
  <c r="N7" i="8"/>
  <c r="M7" i="8"/>
  <c r="V7" i="8" s="1"/>
  <c r="K7" i="8"/>
  <c r="J7" i="8"/>
  <c r="I7" i="8"/>
  <c r="H7" i="8"/>
  <c r="G7" i="8"/>
  <c r="F7" i="8"/>
  <c r="E7" i="8"/>
  <c r="D7" i="8"/>
  <c r="C7" i="8"/>
  <c r="L7" i="8" s="1"/>
  <c r="W7" i="8" s="1"/>
  <c r="G4" i="9" s="1"/>
  <c r="V5" i="8"/>
  <c r="L5" i="8"/>
  <c r="W5" i="8" s="1"/>
  <c r="V3" i="8"/>
  <c r="L3" i="8"/>
  <c r="W3" i="8" s="1"/>
  <c r="U28" i="7"/>
  <c r="T28" i="7"/>
  <c r="S28" i="7"/>
  <c r="R28" i="7"/>
  <c r="Q28" i="7"/>
  <c r="P28" i="7"/>
  <c r="O28" i="7"/>
  <c r="N28" i="7"/>
  <c r="M28" i="7"/>
  <c r="V28" i="7" s="1"/>
  <c r="K28" i="7"/>
  <c r="J28" i="7"/>
  <c r="I28" i="7"/>
  <c r="H28" i="7"/>
  <c r="G28" i="7"/>
  <c r="F28" i="7"/>
  <c r="E28" i="7"/>
  <c r="D28" i="7"/>
  <c r="C28" i="7"/>
  <c r="L28" i="7" s="1"/>
  <c r="W28" i="7" s="1"/>
  <c r="F11" i="9" s="1"/>
  <c r="V26" i="7"/>
  <c r="L26" i="7"/>
  <c r="W26" i="7" s="1"/>
  <c r="U25" i="7"/>
  <c r="T25" i="7"/>
  <c r="S25" i="7"/>
  <c r="R25" i="7"/>
  <c r="Q25" i="7"/>
  <c r="P25" i="7"/>
  <c r="O25" i="7"/>
  <c r="N25" i="7"/>
  <c r="M25" i="7"/>
  <c r="V25" i="7" s="1"/>
  <c r="K25" i="7"/>
  <c r="J25" i="7"/>
  <c r="I25" i="7"/>
  <c r="H25" i="7"/>
  <c r="G25" i="7"/>
  <c r="F25" i="7"/>
  <c r="E25" i="7"/>
  <c r="D25" i="7"/>
  <c r="C25" i="7"/>
  <c r="L25" i="7" s="1"/>
  <c r="W25" i="7" s="1"/>
  <c r="F10" i="9" s="1"/>
  <c r="V23" i="7"/>
  <c r="L23" i="7"/>
  <c r="W23" i="7" s="1"/>
  <c r="U22" i="7"/>
  <c r="T22" i="7"/>
  <c r="S22" i="7"/>
  <c r="R22" i="7"/>
  <c r="Q22" i="7"/>
  <c r="P22" i="7"/>
  <c r="O22" i="7"/>
  <c r="N22" i="7"/>
  <c r="M22" i="7"/>
  <c r="V22" i="7" s="1"/>
  <c r="K22" i="7"/>
  <c r="J22" i="7"/>
  <c r="I22" i="7"/>
  <c r="H22" i="7"/>
  <c r="G22" i="7"/>
  <c r="F22" i="7"/>
  <c r="E22" i="7"/>
  <c r="D22" i="7"/>
  <c r="C22" i="7"/>
  <c r="L22" i="7" s="1"/>
  <c r="W22" i="7" s="1"/>
  <c r="F9" i="9" s="1"/>
  <c r="V20" i="7"/>
  <c r="L20" i="7"/>
  <c r="W20" i="7" s="1"/>
  <c r="U19" i="7"/>
  <c r="T19" i="7"/>
  <c r="S19" i="7"/>
  <c r="R19" i="7"/>
  <c r="Q19" i="7"/>
  <c r="P19" i="7"/>
  <c r="O19" i="7"/>
  <c r="N19" i="7"/>
  <c r="M19" i="7"/>
  <c r="V19" i="7" s="1"/>
  <c r="K19" i="7"/>
  <c r="J19" i="7"/>
  <c r="I19" i="7"/>
  <c r="H19" i="7"/>
  <c r="G19" i="7"/>
  <c r="F19" i="7"/>
  <c r="E19" i="7"/>
  <c r="D19" i="7"/>
  <c r="C19" i="7"/>
  <c r="L19" i="7" s="1"/>
  <c r="W19" i="7" s="1"/>
  <c r="F8" i="9" s="1"/>
  <c r="V17" i="7"/>
  <c r="L17" i="7"/>
  <c r="W17" i="7" s="1"/>
  <c r="U16" i="7"/>
  <c r="T16" i="7"/>
  <c r="S16" i="7"/>
  <c r="R16" i="7"/>
  <c r="Q16" i="7"/>
  <c r="P16" i="7"/>
  <c r="O16" i="7"/>
  <c r="N16" i="7"/>
  <c r="M16" i="7"/>
  <c r="V16" i="7" s="1"/>
  <c r="K16" i="7"/>
  <c r="J16" i="7"/>
  <c r="I16" i="7"/>
  <c r="H16" i="7"/>
  <c r="G16" i="7"/>
  <c r="F16" i="7"/>
  <c r="E16" i="7"/>
  <c r="D16" i="7"/>
  <c r="C16" i="7"/>
  <c r="L16" i="7" s="1"/>
  <c r="W16" i="7" s="1"/>
  <c r="F7" i="9" s="1"/>
  <c r="V14" i="7"/>
  <c r="W14" i="7" s="1"/>
  <c r="L14" i="7"/>
  <c r="U13" i="7"/>
  <c r="T13" i="7"/>
  <c r="S13" i="7"/>
  <c r="R13" i="7"/>
  <c r="Q13" i="7"/>
  <c r="P13" i="7"/>
  <c r="O13" i="7"/>
  <c r="N13" i="7"/>
  <c r="M13" i="7"/>
  <c r="V13" i="7" s="1"/>
  <c r="K13" i="7"/>
  <c r="J13" i="7"/>
  <c r="I13" i="7"/>
  <c r="H13" i="7"/>
  <c r="G13" i="7"/>
  <c r="F13" i="7"/>
  <c r="E13" i="7"/>
  <c r="D13" i="7"/>
  <c r="C13" i="7"/>
  <c r="L13" i="7" s="1"/>
  <c r="W13" i="7" s="1"/>
  <c r="F6" i="9" s="1"/>
  <c r="V11" i="7"/>
  <c r="L11" i="7"/>
  <c r="W11" i="7" s="1"/>
  <c r="U10" i="7"/>
  <c r="T10" i="7"/>
  <c r="S10" i="7"/>
  <c r="R10" i="7"/>
  <c r="Q10" i="7"/>
  <c r="P10" i="7"/>
  <c r="O10" i="7"/>
  <c r="N10" i="7"/>
  <c r="M10" i="7"/>
  <c r="V10" i="7" s="1"/>
  <c r="K10" i="7"/>
  <c r="J10" i="7"/>
  <c r="I10" i="7"/>
  <c r="H10" i="7"/>
  <c r="G10" i="7"/>
  <c r="F10" i="7"/>
  <c r="E10" i="7"/>
  <c r="D10" i="7"/>
  <c r="C10" i="7"/>
  <c r="L10" i="7" s="1"/>
  <c r="W10" i="7" s="1"/>
  <c r="F5" i="9" s="1"/>
  <c r="V8" i="7"/>
  <c r="L8" i="7"/>
  <c r="W8" i="7" s="1"/>
  <c r="U7" i="7"/>
  <c r="T7" i="7"/>
  <c r="S7" i="7"/>
  <c r="R7" i="7"/>
  <c r="Q7" i="7"/>
  <c r="P7" i="7"/>
  <c r="O7" i="7"/>
  <c r="N7" i="7"/>
  <c r="M7" i="7"/>
  <c r="V7" i="7" s="1"/>
  <c r="K7" i="7"/>
  <c r="J7" i="7"/>
  <c r="I7" i="7"/>
  <c r="H7" i="7"/>
  <c r="G7" i="7"/>
  <c r="F7" i="7"/>
  <c r="E7" i="7"/>
  <c r="D7" i="7"/>
  <c r="C7" i="7"/>
  <c r="L7" i="7" s="1"/>
  <c r="W7" i="7" s="1"/>
  <c r="F4" i="9" s="1"/>
  <c r="V5" i="7"/>
  <c r="L5" i="7"/>
  <c r="W5" i="7" s="1"/>
  <c r="V3" i="7"/>
  <c r="L3" i="7"/>
  <c r="W3" i="7" s="1"/>
  <c r="U28" i="6"/>
  <c r="T28" i="6"/>
  <c r="S28" i="6"/>
  <c r="R28" i="6"/>
  <c r="Q28" i="6"/>
  <c r="P28" i="6"/>
  <c r="O28" i="6"/>
  <c r="N28" i="6"/>
  <c r="M28" i="6"/>
  <c r="V28" i="6" s="1"/>
  <c r="K28" i="6"/>
  <c r="J28" i="6"/>
  <c r="I28" i="6"/>
  <c r="H28" i="6"/>
  <c r="G28" i="6"/>
  <c r="F28" i="6"/>
  <c r="E28" i="6"/>
  <c r="D28" i="6"/>
  <c r="C28" i="6"/>
  <c r="L28" i="6" s="1"/>
  <c r="W28" i="6" s="1"/>
  <c r="U27" i="6"/>
  <c r="T27" i="6"/>
  <c r="S27" i="6"/>
  <c r="R27" i="6"/>
  <c r="Q27" i="6"/>
  <c r="P27" i="6"/>
  <c r="O27" i="6"/>
  <c r="N27" i="6"/>
  <c r="M27" i="6"/>
  <c r="V27" i="6" s="1"/>
  <c r="K27" i="6"/>
  <c r="J27" i="6"/>
  <c r="I27" i="6"/>
  <c r="H27" i="6"/>
  <c r="G27" i="6"/>
  <c r="F27" i="6"/>
  <c r="E27" i="6"/>
  <c r="D27" i="6"/>
  <c r="C27" i="6"/>
  <c r="L27" i="6" s="1"/>
  <c r="W27" i="6" s="1"/>
  <c r="V26" i="6"/>
  <c r="L26" i="6"/>
  <c r="W26" i="6" s="1"/>
  <c r="U25" i="6"/>
  <c r="T25" i="6"/>
  <c r="S25" i="6"/>
  <c r="R25" i="6"/>
  <c r="Q25" i="6"/>
  <c r="P25" i="6"/>
  <c r="O25" i="6"/>
  <c r="N25" i="6"/>
  <c r="M25" i="6"/>
  <c r="V25" i="6" s="1"/>
  <c r="L25" i="6"/>
  <c r="W25" i="6" s="1"/>
  <c r="K25" i="6"/>
  <c r="J25" i="6"/>
  <c r="I25" i="6"/>
  <c r="H25" i="6"/>
  <c r="G25" i="6"/>
  <c r="F25" i="6"/>
  <c r="E25" i="6"/>
  <c r="D25" i="6"/>
  <c r="C25" i="6"/>
  <c r="U24" i="6"/>
  <c r="T24" i="6"/>
  <c r="S24" i="6"/>
  <c r="R24" i="6"/>
  <c r="Q24" i="6"/>
  <c r="P24" i="6"/>
  <c r="O24" i="6"/>
  <c r="N24" i="6"/>
  <c r="M24" i="6"/>
  <c r="V24" i="6" s="1"/>
  <c r="K24" i="6"/>
  <c r="J24" i="6"/>
  <c r="I24" i="6"/>
  <c r="H24" i="6"/>
  <c r="G24" i="6"/>
  <c r="F24" i="6"/>
  <c r="E24" i="6"/>
  <c r="D24" i="6"/>
  <c r="C24" i="6"/>
  <c r="L24" i="6" s="1"/>
  <c r="W24" i="6" s="1"/>
  <c r="V23" i="6"/>
  <c r="L23" i="6"/>
  <c r="W23" i="6" s="1"/>
  <c r="U22" i="6"/>
  <c r="T22" i="6"/>
  <c r="S22" i="6"/>
  <c r="R22" i="6"/>
  <c r="Q22" i="6"/>
  <c r="P22" i="6"/>
  <c r="O22" i="6"/>
  <c r="N22" i="6"/>
  <c r="M22" i="6"/>
  <c r="V22" i="6" s="1"/>
  <c r="K22" i="6"/>
  <c r="J22" i="6"/>
  <c r="I22" i="6"/>
  <c r="H22" i="6"/>
  <c r="G22" i="6"/>
  <c r="F22" i="6"/>
  <c r="E22" i="6"/>
  <c r="D22" i="6"/>
  <c r="C22" i="6"/>
  <c r="L22" i="6" s="1"/>
  <c r="W22" i="6" s="1"/>
  <c r="U21" i="6"/>
  <c r="T21" i="6"/>
  <c r="S21" i="6"/>
  <c r="R21" i="6"/>
  <c r="Q21" i="6"/>
  <c r="P21" i="6"/>
  <c r="O21" i="6"/>
  <c r="N21" i="6"/>
  <c r="M21" i="6"/>
  <c r="V21" i="6" s="1"/>
  <c r="K21" i="6"/>
  <c r="J21" i="6"/>
  <c r="I21" i="6"/>
  <c r="H21" i="6"/>
  <c r="G21" i="6"/>
  <c r="F21" i="6"/>
  <c r="E21" i="6"/>
  <c r="D21" i="6"/>
  <c r="C21" i="6"/>
  <c r="L21" i="6" s="1"/>
  <c r="W21" i="6" s="1"/>
  <c r="V20" i="6"/>
  <c r="L20" i="6"/>
  <c r="W20" i="6" s="1"/>
  <c r="U19" i="6"/>
  <c r="T19" i="6"/>
  <c r="S19" i="6"/>
  <c r="R19" i="6"/>
  <c r="Q19" i="6"/>
  <c r="P19" i="6"/>
  <c r="O19" i="6"/>
  <c r="N19" i="6"/>
  <c r="M19" i="6"/>
  <c r="V19" i="6" s="1"/>
  <c r="K19" i="6"/>
  <c r="J19" i="6"/>
  <c r="I19" i="6"/>
  <c r="H19" i="6"/>
  <c r="G19" i="6"/>
  <c r="F19" i="6"/>
  <c r="E19" i="6"/>
  <c r="D19" i="6"/>
  <c r="C19" i="6"/>
  <c r="L19" i="6" s="1"/>
  <c r="W19" i="6" s="1"/>
  <c r="U18" i="6"/>
  <c r="T18" i="6"/>
  <c r="S18" i="6"/>
  <c r="R18" i="6"/>
  <c r="Q18" i="6"/>
  <c r="P18" i="6"/>
  <c r="O18" i="6"/>
  <c r="N18" i="6"/>
  <c r="M18" i="6"/>
  <c r="V18" i="6" s="1"/>
  <c r="K18" i="6"/>
  <c r="J18" i="6"/>
  <c r="I18" i="6"/>
  <c r="H18" i="6"/>
  <c r="G18" i="6"/>
  <c r="F18" i="6"/>
  <c r="E18" i="6"/>
  <c r="D18" i="6"/>
  <c r="C18" i="6"/>
  <c r="L18" i="6" s="1"/>
  <c r="W18" i="6" s="1"/>
  <c r="V17" i="6"/>
  <c r="L17" i="6"/>
  <c r="W17" i="6" s="1"/>
  <c r="U16" i="6"/>
  <c r="T16" i="6"/>
  <c r="S16" i="6"/>
  <c r="R16" i="6"/>
  <c r="Q16" i="6"/>
  <c r="P16" i="6"/>
  <c r="O16" i="6"/>
  <c r="N16" i="6"/>
  <c r="M16" i="6"/>
  <c r="V16" i="6" s="1"/>
  <c r="K16" i="6"/>
  <c r="J16" i="6"/>
  <c r="I16" i="6"/>
  <c r="H16" i="6"/>
  <c r="G16" i="6"/>
  <c r="F16" i="6"/>
  <c r="E16" i="6"/>
  <c r="D16" i="6"/>
  <c r="C16" i="6"/>
  <c r="L16" i="6" s="1"/>
  <c r="W16" i="6" s="1"/>
  <c r="U15" i="6"/>
  <c r="T15" i="6"/>
  <c r="S15" i="6"/>
  <c r="R15" i="6"/>
  <c r="Q15" i="6"/>
  <c r="P15" i="6"/>
  <c r="O15" i="6"/>
  <c r="N15" i="6"/>
  <c r="M15" i="6"/>
  <c r="V15" i="6" s="1"/>
  <c r="K15" i="6"/>
  <c r="J15" i="6"/>
  <c r="I15" i="6"/>
  <c r="H15" i="6"/>
  <c r="G15" i="6"/>
  <c r="F15" i="6"/>
  <c r="E15" i="6"/>
  <c r="D15" i="6"/>
  <c r="C15" i="6"/>
  <c r="L15" i="6" s="1"/>
  <c r="V14" i="6"/>
  <c r="L14" i="6"/>
  <c r="W14" i="6" s="1"/>
  <c r="U13" i="6"/>
  <c r="T13" i="6"/>
  <c r="S13" i="6"/>
  <c r="R13" i="6"/>
  <c r="Q13" i="6"/>
  <c r="P13" i="6"/>
  <c r="O13" i="6"/>
  <c r="N13" i="6"/>
  <c r="M13" i="6"/>
  <c r="V13" i="6" s="1"/>
  <c r="K13" i="6"/>
  <c r="J13" i="6"/>
  <c r="I13" i="6"/>
  <c r="H13" i="6"/>
  <c r="G13" i="6"/>
  <c r="F13" i="6"/>
  <c r="E13" i="6"/>
  <c r="D13" i="6"/>
  <c r="C13" i="6"/>
  <c r="L13" i="6" s="1"/>
  <c r="W13" i="6" s="1"/>
  <c r="U12" i="6"/>
  <c r="T12" i="6"/>
  <c r="S12" i="6"/>
  <c r="R12" i="6"/>
  <c r="Q12" i="6"/>
  <c r="P12" i="6"/>
  <c r="O12" i="6"/>
  <c r="N12" i="6"/>
  <c r="M12" i="6"/>
  <c r="V12" i="6" s="1"/>
  <c r="K12" i="6"/>
  <c r="J12" i="6"/>
  <c r="I12" i="6"/>
  <c r="H12" i="6"/>
  <c r="G12" i="6"/>
  <c r="F12" i="6"/>
  <c r="E12" i="6"/>
  <c r="D12" i="6"/>
  <c r="C12" i="6"/>
  <c r="L12" i="6" s="1"/>
  <c r="W12" i="6" s="1"/>
  <c r="V11" i="6"/>
  <c r="L11" i="6"/>
  <c r="W11" i="6" s="1"/>
  <c r="U10" i="6"/>
  <c r="T10" i="6"/>
  <c r="S10" i="6"/>
  <c r="R10" i="6"/>
  <c r="Q10" i="6"/>
  <c r="P10" i="6"/>
  <c r="O10" i="6"/>
  <c r="N10" i="6"/>
  <c r="M10" i="6"/>
  <c r="V10" i="6" s="1"/>
  <c r="K10" i="6"/>
  <c r="J10" i="6"/>
  <c r="I10" i="6"/>
  <c r="H10" i="6"/>
  <c r="G10" i="6"/>
  <c r="F10" i="6"/>
  <c r="E10" i="6"/>
  <c r="D10" i="6"/>
  <c r="C10" i="6"/>
  <c r="L10" i="6" s="1"/>
  <c r="W10" i="6" s="1"/>
  <c r="U9" i="6"/>
  <c r="T9" i="6"/>
  <c r="S9" i="6"/>
  <c r="R9" i="6"/>
  <c r="Q9" i="6"/>
  <c r="P9" i="6"/>
  <c r="O9" i="6"/>
  <c r="N9" i="6"/>
  <c r="M9" i="6"/>
  <c r="V9" i="6" s="1"/>
  <c r="K9" i="6"/>
  <c r="J9" i="6"/>
  <c r="I9" i="6"/>
  <c r="H9" i="6"/>
  <c r="G9" i="6"/>
  <c r="F9" i="6"/>
  <c r="E9" i="6"/>
  <c r="D9" i="6"/>
  <c r="C9" i="6"/>
  <c r="L9" i="6" s="1"/>
  <c r="W9" i="6" s="1"/>
  <c r="V8" i="6"/>
  <c r="L8" i="6"/>
  <c r="W8" i="6" s="1"/>
  <c r="U7" i="6"/>
  <c r="T7" i="6"/>
  <c r="S7" i="6"/>
  <c r="R7" i="6"/>
  <c r="Q7" i="6"/>
  <c r="P7" i="6"/>
  <c r="O7" i="6"/>
  <c r="N7" i="6"/>
  <c r="M7" i="6"/>
  <c r="V7" i="6" s="1"/>
  <c r="K7" i="6"/>
  <c r="J7" i="6"/>
  <c r="I7" i="6"/>
  <c r="H7" i="6"/>
  <c r="G7" i="6"/>
  <c r="F7" i="6"/>
  <c r="E7" i="6"/>
  <c r="D7" i="6"/>
  <c r="C7" i="6"/>
  <c r="L7" i="6" s="1"/>
  <c r="W7" i="6" s="1"/>
  <c r="U6" i="6"/>
  <c r="T6" i="6"/>
  <c r="S6" i="6"/>
  <c r="R6" i="6"/>
  <c r="Q6" i="6"/>
  <c r="P6" i="6"/>
  <c r="O6" i="6"/>
  <c r="N6" i="6"/>
  <c r="M6" i="6"/>
  <c r="V6" i="6" s="1"/>
  <c r="K6" i="6"/>
  <c r="J6" i="6"/>
  <c r="I6" i="6"/>
  <c r="H6" i="6"/>
  <c r="G6" i="6"/>
  <c r="F6" i="6"/>
  <c r="E6" i="6"/>
  <c r="D6" i="6"/>
  <c r="C6" i="6"/>
  <c r="L6" i="6" s="1"/>
  <c r="W6" i="6" s="1"/>
  <c r="V5" i="6"/>
  <c r="L5" i="6"/>
  <c r="W5" i="6" s="1"/>
  <c r="V3" i="6"/>
  <c r="L3" i="6"/>
  <c r="W3" i="6" s="1"/>
  <c r="U28" i="5"/>
  <c r="T28" i="5"/>
  <c r="S28" i="5"/>
  <c r="R28" i="5"/>
  <c r="Q28" i="5"/>
  <c r="P28" i="5"/>
  <c r="O28" i="5"/>
  <c r="N28" i="5"/>
  <c r="M28" i="5"/>
  <c r="V28" i="5" s="1"/>
  <c r="K28" i="5"/>
  <c r="J28" i="5"/>
  <c r="I28" i="5"/>
  <c r="H28" i="5"/>
  <c r="G28" i="5"/>
  <c r="F28" i="5"/>
  <c r="E28" i="5"/>
  <c r="D28" i="5"/>
  <c r="C28" i="5"/>
  <c r="L28" i="5" s="1"/>
  <c r="W28" i="5" s="1"/>
  <c r="E11" i="9" s="1"/>
  <c r="V26" i="5"/>
  <c r="L26" i="5"/>
  <c r="W26" i="5" s="1"/>
  <c r="U25" i="5"/>
  <c r="T25" i="5"/>
  <c r="S25" i="5"/>
  <c r="R25" i="5"/>
  <c r="Q25" i="5"/>
  <c r="P25" i="5"/>
  <c r="O25" i="5"/>
  <c r="N25" i="5"/>
  <c r="M25" i="5"/>
  <c r="V25" i="5" s="1"/>
  <c r="K25" i="5"/>
  <c r="J25" i="5"/>
  <c r="I25" i="5"/>
  <c r="H25" i="5"/>
  <c r="G25" i="5"/>
  <c r="F25" i="5"/>
  <c r="E25" i="5"/>
  <c r="D25" i="5"/>
  <c r="C25" i="5"/>
  <c r="L25" i="5" s="1"/>
  <c r="W25" i="5" s="1"/>
  <c r="E10" i="9" s="1"/>
  <c r="V23" i="5"/>
  <c r="L23" i="5"/>
  <c r="W23" i="5" s="1"/>
  <c r="V22" i="5"/>
  <c r="U22" i="5"/>
  <c r="T22" i="5"/>
  <c r="S22" i="5"/>
  <c r="R22" i="5"/>
  <c r="Q22" i="5"/>
  <c r="P22" i="5"/>
  <c r="O22" i="5"/>
  <c r="N22" i="5"/>
  <c r="M22" i="5"/>
  <c r="K22" i="5"/>
  <c r="J22" i="5"/>
  <c r="I22" i="5"/>
  <c r="H22" i="5"/>
  <c r="G22" i="5"/>
  <c r="F22" i="5"/>
  <c r="E22" i="5"/>
  <c r="D22" i="5"/>
  <c r="C22" i="5"/>
  <c r="L22" i="5" s="1"/>
  <c r="W22" i="5" s="1"/>
  <c r="E9" i="9" s="1"/>
  <c r="V20" i="5"/>
  <c r="L20" i="5"/>
  <c r="W20" i="5" s="1"/>
  <c r="U19" i="5"/>
  <c r="T19" i="5"/>
  <c r="S19" i="5"/>
  <c r="R19" i="5"/>
  <c r="Q19" i="5"/>
  <c r="P19" i="5"/>
  <c r="O19" i="5"/>
  <c r="N19" i="5"/>
  <c r="M19" i="5"/>
  <c r="V19" i="5" s="1"/>
  <c r="K19" i="5"/>
  <c r="J19" i="5"/>
  <c r="I19" i="5"/>
  <c r="H19" i="5"/>
  <c r="G19" i="5"/>
  <c r="F19" i="5"/>
  <c r="E19" i="5"/>
  <c r="D19" i="5"/>
  <c r="C19" i="5"/>
  <c r="L19" i="5" s="1"/>
  <c r="W19" i="5" s="1"/>
  <c r="E8" i="9" s="1"/>
  <c r="V17" i="5"/>
  <c r="L17" i="5"/>
  <c r="W17" i="5" s="1"/>
  <c r="U16" i="5"/>
  <c r="T16" i="5"/>
  <c r="S16" i="5"/>
  <c r="R16" i="5"/>
  <c r="Q16" i="5"/>
  <c r="P16" i="5"/>
  <c r="O16" i="5"/>
  <c r="N16" i="5"/>
  <c r="M16" i="5"/>
  <c r="V16" i="5" s="1"/>
  <c r="K16" i="5"/>
  <c r="J16" i="5"/>
  <c r="I16" i="5"/>
  <c r="H16" i="5"/>
  <c r="G16" i="5"/>
  <c r="F16" i="5"/>
  <c r="E16" i="5"/>
  <c r="D16" i="5"/>
  <c r="C16" i="5"/>
  <c r="L16" i="5" s="1"/>
  <c r="W16" i="5" s="1"/>
  <c r="E7" i="9" s="1"/>
  <c r="V14" i="5"/>
  <c r="L14" i="5"/>
  <c r="W14" i="5" s="1"/>
  <c r="U13" i="5"/>
  <c r="T13" i="5"/>
  <c r="S13" i="5"/>
  <c r="R13" i="5"/>
  <c r="Q13" i="5"/>
  <c r="P13" i="5"/>
  <c r="O13" i="5"/>
  <c r="N13" i="5"/>
  <c r="M13" i="5"/>
  <c r="V13" i="5" s="1"/>
  <c r="K13" i="5"/>
  <c r="J13" i="5"/>
  <c r="I13" i="5"/>
  <c r="H13" i="5"/>
  <c r="G13" i="5"/>
  <c r="F13" i="5"/>
  <c r="E13" i="5"/>
  <c r="D13" i="5"/>
  <c r="C13" i="5"/>
  <c r="L13" i="5" s="1"/>
  <c r="W13" i="5" s="1"/>
  <c r="E6" i="9" s="1"/>
  <c r="V11" i="5"/>
  <c r="L11" i="5"/>
  <c r="W11" i="5" s="1"/>
  <c r="U10" i="5"/>
  <c r="T10" i="5"/>
  <c r="S10" i="5"/>
  <c r="R10" i="5"/>
  <c r="Q10" i="5"/>
  <c r="P10" i="5"/>
  <c r="O10" i="5"/>
  <c r="N10" i="5"/>
  <c r="M10" i="5"/>
  <c r="V10" i="5" s="1"/>
  <c r="K10" i="5"/>
  <c r="J10" i="5"/>
  <c r="I10" i="5"/>
  <c r="H10" i="5"/>
  <c r="G10" i="5"/>
  <c r="F10" i="5"/>
  <c r="L10" i="5" s="1"/>
  <c r="W10" i="5" s="1"/>
  <c r="E5" i="9" s="1"/>
  <c r="E10" i="5"/>
  <c r="D10" i="5"/>
  <c r="C10" i="5"/>
  <c r="V8" i="5"/>
  <c r="L8" i="5"/>
  <c r="W8" i="5" s="1"/>
  <c r="U7" i="5"/>
  <c r="T7" i="5"/>
  <c r="S7" i="5"/>
  <c r="R7" i="5"/>
  <c r="Q7" i="5"/>
  <c r="P7" i="5"/>
  <c r="O7" i="5"/>
  <c r="N7" i="5"/>
  <c r="M7" i="5"/>
  <c r="V7" i="5" s="1"/>
  <c r="K7" i="5"/>
  <c r="J7" i="5"/>
  <c r="I7" i="5"/>
  <c r="H7" i="5"/>
  <c r="G7" i="5"/>
  <c r="F7" i="5"/>
  <c r="E7" i="5"/>
  <c r="D7" i="5"/>
  <c r="C7" i="5"/>
  <c r="L7" i="5" s="1"/>
  <c r="W7" i="5" s="1"/>
  <c r="E4" i="9" s="1"/>
  <c r="V5" i="5"/>
  <c r="L5" i="5"/>
  <c r="W5" i="5" s="1"/>
  <c r="V3" i="5"/>
  <c r="L3" i="5"/>
  <c r="W3" i="5" s="1"/>
  <c r="V26" i="4"/>
  <c r="L26" i="4"/>
  <c r="W26" i="4" s="1"/>
  <c r="V23" i="4"/>
  <c r="L23" i="4"/>
  <c r="V20" i="4"/>
  <c r="L20" i="4"/>
  <c r="W20" i="4" s="1"/>
  <c r="V17" i="4"/>
  <c r="L17" i="4"/>
  <c r="V14" i="4"/>
  <c r="L14" i="4"/>
  <c r="V11" i="4"/>
  <c r="L11" i="4"/>
  <c r="V8" i="4"/>
  <c r="L8" i="4"/>
  <c r="W8" i="4" s="1"/>
  <c r="V5" i="4"/>
  <c r="L5" i="4"/>
  <c r="W5" i="4" s="1"/>
  <c r="V3" i="4"/>
  <c r="L3" i="4"/>
  <c r="W3" i="4" s="1"/>
  <c r="D11" i="3"/>
  <c r="E11" i="3" s="1"/>
  <c r="C11" i="3"/>
  <c r="B11" i="3"/>
  <c r="D10" i="3"/>
  <c r="E10" i="3" s="1"/>
  <c r="C10" i="3"/>
  <c r="B10" i="3"/>
  <c r="D9" i="3"/>
  <c r="E9" i="3" s="1"/>
  <c r="C9" i="3"/>
  <c r="B9" i="3"/>
  <c r="D8" i="3"/>
  <c r="E8" i="3" s="1"/>
  <c r="C8" i="3"/>
  <c r="B8" i="3"/>
  <c r="D7" i="3"/>
  <c r="E7" i="3" s="1"/>
  <c r="C7" i="3"/>
  <c r="B7" i="3"/>
  <c r="D6" i="3"/>
  <c r="E6" i="3" s="1"/>
  <c r="C6" i="3"/>
  <c r="B6" i="3"/>
  <c r="D5" i="3"/>
  <c r="E5" i="3" s="1"/>
  <c r="C5" i="3"/>
  <c r="B5" i="3"/>
  <c r="D4" i="3"/>
  <c r="E4" i="3" s="1"/>
  <c r="C4" i="3"/>
  <c r="B4" i="3"/>
  <c r="C11" i="9"/>
  <c r="C10" i="9"/>
  <c r="C9" i="9"/>
  <c r="C8" i="9"/>
  <c r="C7" i="9"/>
  <c r="C6" i="9"/>
  <c r="C5" i="9"/>
  <c r="C4" i="9"/>
  <c r="W23" i="4" l="1"/>
  <c r="W14" i="4"/>
  <c r="W11" i="4"/>
  <c r="W17" i="4"/>
  <c r="H11" i="3"/>
  <c r="G11" i="3"/>
  <c r="F11" i="3"/>
  <c r="I11" i="3"/>
  <c r="G10" i="3"/>
  <c r="F10" i="3"/>
  <c r="H10" i="3"/>
  <c r="I10" i="3"/>
  <c r="I9" i="3"/>
  <c r="H9" i="3"/>
  <c r="G9" i="3"/>
  <c r="F9" i="3"/>
  <c r="I8" i="3"/>
  <c r="H8" i="3"/>
  <c r="G8" i="3"/>
  <c r="F8" i="3"/>
  <c r="G7" i="3"/>
  <c r="F7" i="3"/>
  <c r="H7" i="3"/>
  <c r="I7" i="3"/>
  <c r="I6" i="3"/>
  <c r="H6" i="3"/>
  <c r="G6" i="3"/>
  <c r="F6" i="3"/>
  <c r="I5" i="3"/>
  <c r="H5" i="3"/>
  <c r="G5" i="3"/>
  <c r="F5" i="3"/>
  <c r="I4" i="3"/>
  <c r="H4" i="3"/>
  <c r="G4" i="3"/>
  <c r="F4" i="3"/>
  <c r="W15" i="6"/>
  <c r="W10" i="8"/>
  <c r="G5" i="9" s="1"/>
  <c r="L11" i="3" l="1"/>
  <c r="B26" i="8"/>
  <c r="K11" i="3"/>
  <c r="B26" i="4"/>
  <c r="J11" i="3"/>
  <c r="B26" i="5"/>
  <c r="M11" i="3"/>
  <c r="B26" i="7"/>
  <c r="K10" i="3"/>
  <c r="B23" i="4"/>
  <c r="J10" i="3"/>
  <c r="B23" i="5"/>
  <c r="L10" i="3"/>
  <c r="B23" i="8"/>
  <c r="M10" i="3"/>
  <c r="B23" i="7"/>
  <c r="M9" i="3"/>
  <c r="B20" i="7"/>
  <c r="L9" i="3"/>
  <c r="B20" i="8"/>
  <c r="K9" i="3"/>
  <c r="B20" i="4"/>
  <c r="J9" i="3"/>
  <c r="B20" i="5"/>
  <c r="M8" i="3"/>
  <c r="B17" i="7"/>
  <c r="L8" i="3"/>
  <c r="B17" i="8"/>
  <c r="K8" i="3"/>
  <c r="B17" i="4"/>
  <c r="J8" i="3"/>
  <c r="B17" i="5"/>
  <c r="K7" i="3"/>
  <c r="B14" i="4"/>
  <c r="J7" i="3"/>
  <c r="B14" i="5"/>
  <c r="L7" i="3"/>
  <c r="B14" i="8"/>
  <c r="M7" i="3"/>
  <c r="B14" i="7"/>
  <c r="M6" i="3"/>
  <c r="B11" i="7"/>
  <c r="L6" i="3"/>
  <c r="B11" i="8"/>
  <c r="K6" i="3"/>
  <c r="B11" i="4"/>
  <c r="J6" i="3"/>
  <c r="B11" i="5"/>
  <c r="M5" i="3"/>
  <c r="B8" i="7"/>
  <c r="L5" i="3"/>
  <c r="B8" i="8"/>
  <c r="K5" i="3"/>
  <c r="B8" i="4"/>
  <c r="J5" i="3"/>
  <c r="B8" i="5"/>
  <c r="M4" i="3"/>
  <c r="B5" i="7"/>
  <c r="L4" i="3"/>
  <c r="B5" i="8"/>
  <c r="K4" i="3"/>
  <c r="B5" i="4"/>
  <c r="J4" i="3"/>
  <c r="B5" i="5"/>
  <c r="C27" i="8" l="1"/>
  <c r="D27" i="8"/>
  <c r="E27" i="8"/>
  <c r="F27" i="8"/>
  <c r="G27" i="8"/>
  <c r="H27" i="8"/>
  <c r="I27" i="8"/>
  <c r="J27" i="8"/>
  <c r="K27" i="8"/>
  <c r="M27" i="8"/>
  <c r="N27" i="8"/>
  <c r="O27" i="8"/>
  <c r="P27" i="8"/>
  <c r="Q27" i="8"/>
  <c r="R27" i="8"/>
  <c r="S27" i="8"/>
  <c r="T27" i="8"/>
  <c r="U27" i="8"/>
  <c r="C27" i="4"/>
  <c r="D27" i="4"/>
  <c r="D28" i="4" s="1"/>
  <c r="E27" i="4"/>
  <c r="E28" i="4" s="1"/>
  <c r="F27" i="4"/>
  <c r="F28" i="4" s="1"/>
  <c r="G27" i="4"/>
  <c r="G28" i="4" s="1"/>
  <c r="H27" i="4"/>
  <c r="H28" i="4" s="1"/>
  <c r="I27" i="4"/>
  <c r="I28" i="4" s="1"/>
  <c r="J27" i="4"/>
  <c r="J28" i="4" s="1"/>
  <c r="K27" i="4"/>
  <c r="K28" i="4" s="1"/>
  <c r="M27" i="4"/>
  <c r="N27" i="4"/>
  <c r="N28" i="4" s="1"/>
  <c r="O27" i="4"/>
  <c r="O28" i="4" s="1"/>
  <c r="P27" i="4"/>
  <c r="P28" i="4" s="1"/>
  <c r="Q27" i="4"/>
  <c r="Q28" i="4" s="1"/>
  <c r="R27" i="4"/>
  <c r="R28" i="4" s="1"/>
  <c r="S27" i="4"/>
  <c r="S28" i="4" s="1"/>
  <c r="T27" i="4"/>
  <c r="T28" i="4" s="1"/>
  <c r="U27" i="4"/>
  <c r="U28" i="4" s="1"/>
  <c r="G27" i="5"/>
  <c r="D27" i="5"/>
  <c r="F27" i="5"/>
  <c r="J27" i="5"/>
  <c r="Q27" i="5"/>
  <c r="H27" i="5"/>
  <c r="E27" i="5"/>
  <c r="R27" i="5"/>
  <c r="S27" i="5"/>
  <c r="U27" i="5"/>
  <c r="C27" i="5"/>
  <c r="I27" i="5"/>
  <c r="M27" i="5"/>
  <c r="O27" i="5"/>
  <c r="P27" i="5"/>
  <c r="T27" i="5"/>
  <c r="K27" i="5"/>
  <c r="N27" i="5"/>
  <c r="C27" i="7"/>
  <c r="L27" i="7" s="1"/>
  <c r="D27" i="7"/>
  <c r="E27" i="7"/>
  <c r="F27" i="7"/>
  <c r="G27" i="7"/>
  <c r="H27" i="7"/>
  <c r="I27" i="7"/>
  <c r="J27" i="7"/>
  <c r="K27" i="7"/>
  <c r="M27" i="7"/>
  <c r="N27" i="7"/>
  <c r="O27" i="7"/>
  <c r="P27" i="7"/>
  <c r="Q27" i="7"/>
  <c r="S27" i="7"/>
  <c r="T27" i="7"/>
  <c r="U27" i="7"/>
  <c r="R27" i="7"/>
  <c r="C24" i="4"/>
  <c r="D24" i="4"/>
  <c r="D25" i="4" s="1"/>
  <c r="E24" i="4"/>
  <c r="E25" i="4" s="1"/>
  <c r="F24" i="4"/>
  <c r="F25" i="4" s="1"/>
  <c r="G24" i="4"/>
  <c r="G25" i="4" s="1"/>
  <c r="H24" i="4"/>
  <c r="H25" i="4" s="1"/>
  <c r="I24" i="4"/>
  <c r="I25" i="4" s="1"/>
  <c r="J24" i="4"/>
  <c r="J25" i="4" s="1"/>
  <c r="K24" i="4"/>
  <c r="K25" i="4" s="1"/>
  <c r="M24" i="4"/>
  <c r="N24" i="4"/>
  <c r="N25" i="4" s="1"/>
  <c r="O24" i="4"/>
  <c r="O25" i="4" s="1"/>
  <c r="P24" i="4"/>
  <c r="P25" i="4" s="1"/>
  <c r="Q24" i="4"/>
  <c r="Q25" i="4" s="1"/>
  <c r="R24" i="4"/>
  <c r="R25" i="4" s="1"/>
  <c r="S24" i="4"/>
  <c r="S25" i="4" s="1"/>
  <c r="T24" i="4"/>
  <c r="T25" i="4" s="1"/>
  <c r="U24" i="4"/>
  <c r="U25" i="4" s="1"/>
  <c r="E24" i="5"/>
  <c r="G24" i="5"/>
  <c r="P24" i="5"/>
  <c r="U24" i="5"/>
  <c r="D24" i="5"/>
  <c r="K24" i="5"/>
  <c r="R24" i="5"/>
  <c r="N24" i="5"/>
  <c r="Q24" i="5"/>
  <c r="J24" i="5"/>
  <c r="M24" i="5"/>
  <c r="V24" i="5" s="1"/>
  <c r="S24" i="5"/>
  <c r="H24" i="5"/>
  <c r="O24" i="5"/>
  <c r="T24" i="5"/>
  <c r="C24" i="5"/>
  <c r="L24" i="5" s="1"/>
  <c r="F24" i="5"/>
  <c r="I24" i="5"/>
  <c r="C24" i="8"/>
  <c r="L24" i="8" s="1"/>
  <c r="D24" i="8"/>
  <c r="E24" i="8"/>
  <c r="F24" i="8"/>
  <c r="G24" i="8"/>
  <c r="H24" i="8"/>
  <c r="I24" i="8"/>
  <c r="J24" i="8"/>
  <c r="K24" i="8"/>
  <c r="M24" i="8"/>
  <c r="N24" i="8"/>
  <c r="O24" i="8"/>
  <c r="P24" i="8"/>
  <c r="Q24" i="8"/>
  <c r="R24" i="8"/>
  <c r="S24" i="8"/>
  <c r="T24" i="8"/>
  <c r="U24" i="8"/>
  <c r="C24" i="7"/>
  <c r="D24" i="7"/>
  <c r="E24" i="7"/>
  <c r="F24" i="7"/>
  <c r="G24" i="7"/>
  <c r="H24" i="7"/>
  <c r="I24" i="7"/>
  <c r="J24" i="7"/>
  <c r="K24" i="7"/>
  <c r="M24" i="7"/>
  <c r="V24" i="7" s="1"/>
  <c r="N24" i="7"/>
  <c r="O24" i="7"/>
  <c r="P24" i="7"/>
  <c r="Q24" i="7"/>
  <c r="R24" i="7"/>
  <c r="S24" i="7"/>
  <c r="T24" i="7"/>
  <c r="U24" i="7"/>
  <c r="C21" i="7"/>
  <c r="D21" i="7"/>
  <c r="E21" i="7"/>
  <c r="F21" i="7"/>
  <c r="G21" i="7"/>
  <c r="H21" i="7"/>
  <c r="I21" i="7"/>
  <c r="J21" i="7"/>
  <c r="K21" i="7"/>
  <c r="M21" i="7"/>
  <c r="N21" i="7"/>
  <c r="O21" i="7"/>
  <c r="P21" i="7"/>
  <c r="Q21" i="7"/>
  <c r="R21" i="7"/>
  <c r="S21" i="7"/>
  <c r="T21" i="7"/>
  <c r="U21" i="7"/>
  <c r="C21" i="8"/>
  <c r="D21" i="8"/>
  <c r="E21" i="8"/>
  <c r="F21" i="8"/>
  <c r="G21" i="8"/>
  <c r="H21" i="8"/>
  <c r="I21" i="8"/>
  <c r="J21" i="8"/>
  <c r="K21" i="8"/>
  <c r="M21" i="8"/>
  <c r="N21" i="8"/>
  <c r="O21" i="8"/>
  <c r="P21" i="8"/>
  <c r="Q21" i="8"/>
  <c r="R21" i="8"/>
  <c r="S21" i="8"/>
  <c r="T21" i="8"/>
  <c r="U21" i="8"/>
  <c r="C21" i="4"/>
  <c r="D21" i="4"/>
  <c r="D22" i="4" s="1"/>
  <c r="E21" i="4"/>
  <c r="E22" i="4" s="1"/>
  <c r="F21" i="4"/>
  <c r="F22" i="4" s="1"/>
  <c r="G21" i="4"/>
  <c r="G22" i="4" s="1"/>
  <c r="H21" i="4"/>
  <c r="H22" i="4" s="1"/>
  <c r="I21" i="4"/>
  <c r="I22" i="4" s="1"/>
  <c r="J21" i="4"/>
  <c r="J22" i="4" s="1"/>
  <c r="K21" i="4"/>
  <c r="K22" i="4" s="1"/>
  <c r="M21" i="4"/>
  <c r="N21" i="4"/>
  <c r="N22" i="4" s="1"/>
  <c r="O21" i="4"/>
  <c r="O22" i="4" s="1"/>
  <c r="P21" i="4"/>
  <c r="P22" i="4" s="1"/>
  <c r="Q21" i="4"/>
  <c r="Q22" i="4" s="1"/>
  <c r="R21" i="4"/>
  <c r="R22" i="4" s="1"/>
  <c r="S21" i="4"/>
  <c r="S22" i="4" s="1"/>
  <c r="T21" i="4"/>
  <c r="T22" i="4" s="1"/>
  <c r="U21" i="4"/>
  <c r="U22" i="4" s="1"/>
  <c r="C21" i="5"/>
  <c r="D21" i="5"/>
  <c r="E21" i="5"/>
  <c r="F21" i="5"/>
  <c r="G21" i="5"/>
  <c r="H21" i="5"/>
  <c r="I21" i="5"/>
  <c r="J21" i="5"/>
  <c r="K21" i="5"/>
  <c r="M21" i="5"/>
  <c r="N21" i="5"/>
  <c r="O21" i="5"/>
  <c r="P21" i="5"/>
  <c r="Q21" i="5"/>
  <c r="R21" i="5"/>
  <c r="S21" i="5"/>
  <c r="T21" i="5"/>
  <c r="U21" i="5"/>
  <c r="C18" i="7"/>
  <c r="D18" i="7"/>
  <c r="E18" i="7"/>
  <c r="F18" i="7"/>
  <c r="G18" i="7"/>
  <c r="H18" i="7"/>
  <c r="I18" i="7"/>
  <c r="J18" i="7"/>
  <c r="K18" i="7"/>
  <c r="M18" i="7"/>
  <c r="N18" i="7"/>
  <c r="O18" i="7"/>
  <c r="P18" i="7"/>
  <c r="Q18" i="7"/>
  <c r="R18" i="7"/>
  <c r="S18" i="7"/>
  <c r="T18" i="7"/>
  <c r="U18" i="7"/>
  <c r="C18" i="8"/>
  <c r="D18" i="8"/>
  <c r="E18" i="8"/>
  <c r="F18" i="8"/>
  <c r="G18" i="8"/>
  <c r="H18" i="8"/>
  <c r="I18" i="8"/>
  <c r="J18" i="8"/>
  <c r="K18" i="8"/>
  <c r="M18" i="8"/>
  <c r="N18" i="8"/>
  <c r="O18" i="8"/>
  <c r="P18" i="8"/>
  <c r="Q18" i="8"/>
  <c r="R18" i="8"/>
  <c r="S18" i="8"/>
  <c r="T18" i="8"/>
  <c r="U18" i="8"/>
  <c r="C18" i="4"/>
  <c r="D18" i="4"/>
  <c r="D19" i="4" s="1"/>
  <c r="E18" i="4"/>
  <c r="E19" i="4" s="1"/>
  <c r="F18" i="4"/>
  <c r="F19" i="4" s="1"/>
  <c r="G18" i="4"/>
  <c r="G19" i="4" s="1"/>
  <c r="H18" i="4"/>
  <c r="H19" i="4" s="1"/>
  <c r="I18" i="4"/>
  <c r="I19" i="4" s="1"/>
  <c r="J18" i="4"/>
  <c r="J19" i="4" s="1"/>
  <c r="K18" i="4"/>
  <c r="K19" i="4" s="1"/>
  <c r="M18" i="4"/>
  <c r="N18" i="4"/>
  <c r="N19" i="4" s="1"/>
  <c r="O18" i="4"/>
  <c r="O19" i="4" s="1"/>
  <c r="P18" i="4"/>
  <c r="P19" i="4" s="1"/>
  <c r="Q18" i="4"/>
  <c r="Q19" i="4" s="1"/>
  <c r="R18" i="4"/>
  <c r="R19" i="4" s="1"/>
  <c r="S18" i="4"/>
  <c r="S19" i="4" s="1"/>
  <c r="T18" i="4"/>
  <c r="T19" i="4" s="1"/>
  <c r="U18" i="4"/>
  <c r="U19" i="4" s="1"/>
  <c r="C18" i="5"/>
  <c r="D18" i="5"/>
  <c r="E18" i="5"/>
  <c r="F18" i="5"/>
  <c r="G18" i="5"/>
  <c r="H18" i="5"/>
  <c r="I18" i="5"/>
  <c r="J18" i="5"/>
  <c r="K18" i="5"/>
  <c r="M18" i="5"/>
  <c r="N18" i="5"/>
  <c r="O18" i="5"/>
  <c r="P18" i="5"/>
  <c r="Q18" i="5"/>
  <c r="R18" i="5"/>
  <c r="S18" i="5"/>
  <c r="T18" i="5"/>
  <c r="U18" i="5"/>
  <c r="C15" i="4"/>
  <c r="D15" i="4"/>
  <c r="D16" i="4" s="1"/>
  <c r="E15" i="4"/>
  <c r="E16" i="4" s="1"/>
  <c r="F15" i="4"/>
  <c r="F16" i="4" s="1"/>
  <c r="G15" i="4"/>
  <c r="G16" i="4" s="1"/>
  <c r="H15" i="4"/>
  <c r="H16" i="4" s="1"/>
  <c r="I15" i="4"/>
  <c r="I16" i="4" s="1"/>
  <c r="J15" i="4"/>
  <c r="J16" i="4" s="1"/>
  <c r="K15" i="4"/>
  <c r="K16" i="4" s="1"/>
  <c r="M15" i="4"/>
  <c r="N15" i="4"/>
  <c r="N16" i="4" s="1"/>
  <c r="O15" i="4"/>
  <c r="O16" i="4" s="1"/>
  <c r="P15" i="4"/>
  <c r="P16" i="4" s="1"/>
  <c r="Q15" i="4"/>
  <c r="Q16" i="4" s="1"/>
  <c r="R15" i="4"/>
  <c r="R16" i="4" s="1"/>
  <c r="S15" i="4"/>
  <c r="S16" i="4" s="1"/>
  <c r="T15" i="4"/>
  <c r="T16" i="4" s="1"/>
  <c r="U15" i="4"/>
  <c r="U16" i="4" s="1"/>
  <c r="C15" i="5"/>
  <c r="D15" i="5"/>
  <c r="E15" i="5"/>
  <c r="F15" i="5"/>
  <c r="G15" i="5"/>
  <c r="H15" i="5"/>
  <c r="I15" i="5"/>
  <c r="J15" i="5"/>
  <c r="K15" i="5"/>
  <c r="M15" i="5"/>
  <c r="N15" i="5"/>
  <c r="O15" i="5"/>
  <c r="P15" i="5"/>
  <c r="Q15" i="5"/>
  <c r="R15" i="5"/>
  <c r="S15" i="5"/>
  <c r="T15" i="5"/>
  <c r="U15" i="5"/>
  <c r="C15" i="8"/>
  <c r="D15" i="8"/>
  <c r="E15" i="8"/>
  <c r="F15" i="8"/>
  <c r="G15" i="8"/>
  <c r="H15" i="8"/>
  <c r="I15" i="8"/>
  <c r="J15" i="8"/>
  <c r="K15" i="8"/>
  <c r="M15" i="8"/>
  <c r="N15" i="8"/>
  <c r="O15" i="8"/>
  <c r="P15" i="8"/>
  <c r="Q15" i="8"/>
  <c r="R15" i="8"/>
  <c r="S15" i="8"/>
  <c r="T15" i="8"/>
  <c r="U15" i="8"/>
  <c r="C15" i="7"/>
  <c r="L15" i="7" s="1"/>
  <c r="D15" i="7"/>
  <c r="E15" i="7"/>
  <c r="F15" i="7"/>
  <c r="G15" i="7"/>
  <c r="H15" i="7"/>
  <c r="I15" i="7"/>
  <c r="J15" i="7"/>
  <c r="K15" i="7"/>
  <c r="M15" i="7"/>
  <c r="N15" i="7"/>
  <c r="O15" i="7"/>
  <c r="P15" i="7"/>
  <c r="Q15" i="7"/>
  <c r="R15" i="7"/>
  <c r="S15" i="7"/>
  <c r="T15" i="7"/>
  <c r="U15" i="7"/>
  <c r="C12" i="7"/>
  <c r="D12" i="7"/>
  <c r="E12" i="7"/>
  <c r="F12" i="7"/>
  <c r="G12" i="7"/>
  <c r="H12" i="7"/>
  <c r="I12" i="7"/>
  <c r="J12" i="7"/>
  <c r="K12" i="7"/>
  <c r="M12" i="7"/>
  <c r="N12" i="7"/>
  <c r="O12" i="7"/>
  <c r="P12" i="7"/>
  <c r="Q12" i="7"/>
  <c r="R12" i="7"/>
  <c r="S12" i="7"/>
  <c r="T12" i="7"/>
  <c r="U12" i="7"/>
  <c r="C12" i="8"/>
  <c r="D12" i="8"/>
  <c r="E12" i="8"/>
  <c r="F12" i="8"/>
  <c r="G12" i="8"/>
  <c r="H12" i="8"/>
  <c r="I12" i="8"/>
  <c r="J12" i="8"/>
  <c r="K12" i="8"/>
  <c r="M12" i="8"/>
  <c r="N12" i="8"/>
  <c r="O12" i="8"/>
  <c r="P12" i="8"/>
  <c r="Q12" i="8"/>
  <c r="R12" i="8"/>
  <c r="S12" i="8"/>
  <c r="T12" i="8"/>
  <c r="U12" i="8"/>
  <c r="C12" i="4"/>
  <c r="D12" i="4"/>
  <c r="D13" i="4" s="1"/>
  <c r="E12" i="4"/>
  <c r="E13" i="4" s="1"/>
  <c r="F12" i="4"/>
  <c r="F13" i="4" s="1"/>
  <c r="G12" i="4"/>
  <c r="G13" i="4" s="1"/>
  <c r="H12" i="4"/>
  <c r="H13" i="4" s="1"/>
  <c r="I12" i="4"/>
  <c r="I13" i="4" s="1"/>
  <c r="J12" i="4"/>
  <c r="J13" i="4" s="1"/>
  <c r="K12" i="4"/>
  <c r="K13" i="4" s="1"/>
  <c r="M12" i="4"/>
  <c r="N12" i="4"/>
  <c r="N13" i="4" s="1"/>
  <c r="O12" i="4"/>
  <c r="O13" i="4" s="1"/>
  <c r="P12" i="4"/>
  <c r="P13" i="4" s="1"/>
  <c r="Q12" i="4"/>
  <c r="Q13" i="4" s="1"/>
  <c r="R12" i="4"/>
  <c r="R13" i="4" s="1"/>
  <c r="S12" i="4"/>
  <c r="S13" i="4" s="1"/>
  <c r="T12" i="4"/>
  <c r="T13" i="4" s="1"/>
  <c r="U12" i="4"/>
  <c r="U13" i="4" s="1"/>
  <c r="C12" i="5"/>
  <c r="D12" i="5"/>
  <c r="E12" i="5"/>
  <c r="F12" i="5"/>
  <c r="G12" i="5"/>
  <c r="H12" i="5"/>
  <c r="I12" i="5"/>
  <c r="J12" i="5"/>
  <c r="K12" i="5"/>
  <c r="M12" i="5"/>
  <c r="N12" i="5"/>
  <c r="O12" i="5"/>
  <c r="P12" i="5"/>
  <c r="Q12" i="5"/>
  <c r="R12" i="5"/>
  <c r="S12" i="5"/>
  <c r="T12" i="5"/>
  <c r="U12" i="5"/>
  <c r="E9" i="7"/>
  <c r="H9" i="7"/>
  <c r="N9" i="7"/>
  <c r="Q9" i="7"/>
  <c r="C9" i="7"/>
  <c r="F9" i="7"/>
  <c r="K9" i="7"/>
  <c r="M9" i="7"/>
  <c r="P9" i="7"/>
  <c r="T9" i="7"/>
  <c r="G9" i="7"/>
  <c r="I9" i="7"/>
  <c r="R9" i="7"/>
  <c r="U9" i="7"/>
  <c r="D9" i="7"/>
  <c r="J9" i="7"/>
  <c r="O9" i="7"/>
  <c r="S9" i="7"/>
  <c r="C9" i="8"/>
  <c r="D9" i="8"/>
  <c r="E9" i="8"/>
  <c r="F9" i="8"/>
  <c r="G9" i="8"/>
  <c r="H9" i="8"/>
  <c r="I9" i="8"/>
  <c r="J9" i="8"/>
  <c r="K9" i="8"/>
  <c r="M9" i="8"/>
  <c r="N9" i="8"/>
  <c r="O9" i="8"/>
  <c r="P9" i="8"/>
  <c r="Q9" i="8"/>
  <c r="R9" i="8"/>
  <c r="S9" i="8"/>
  <c r="T9" i="8"/>
  <c r="U9" i="8"/>
  <c r="C9" i="4"/>
  <c r="D9" i="4"/>
  <c r="D10" i="4" s="1"/>
  <c r="E9" i="4"/>
  <c r="E10" i="4" s="1"/>
  <c r="F9" i="4"/>
  <c r="F10" i="4" s="1"/>
  <c r="G9" i="4"/>
  <c r="G10" i="4" s="1"/>
  <c r="H9" i="4"/>
  <c r="H10" i="4" s="1"/>
  <c r="I9" i="4"/>
  <c r="I10" i="4" s="1"/>
  <c r="J9" i="4"/>
  <c r="J10" i="4" s="1"/>
  <c r="K9" i="4"/>
  <c r="K10" i="4" s="1"/>
  <c r="M9" i="4"/>
  <c r="N9" i="4"/>
  <c r="N10" i="4" s="1"/>
  <c r="O9" i="4"/>
  <c r="O10" i="4" s="1"/>
  <c r="P9" i="4"/>
  <c r="P10" i="4" s="1"/>
  <c r="Q9" i="4"/>
  <c r="Q10" i="4" s="1"/>
  <c r="R9" i="4"/>
  <c r="R10" i="4" s="1"/>
  <c r="S9" i="4"/>
  <c r="S10" i="4" s="1"/>
  <c r="T9" i="4"/>
  <c r="T10" i="4" s="1"/>
  <c r="U9" i="4"/>
  <c r="U10" i="4" s="1"/>
  <c r="C9" i="5"/>
  <c r="D9" i="5"/>
  <c r="E9" i="5"/>
  <c r="F9" i="5"/>
  <c r="G9" i="5"/>
  <c r="H9" i="5"/>
  <c r="I9" i="5"/>
  <c r="J9" i="5"/>
  <c r="K9" i="5"/>
  <c r="M9" i="5"/>
  <c r="N9" i="5"/>
  <c r="O9" i="5"/>
  <c r="P9" i="5"/>
  <c r="Q9" i="5"/>
  <c r="R9" i="5"/>
  <c r="S9" i="5"/>
  <c r="T9" i="5"/>
  <c r="U9" i="5"/>
  <c r="D6" i="7"/>
  <c r="E6" i="7"/>
  <c r="I6" i="7"/>
  <c r="J6" i="7"/>
  <c r="P6" i="7"/>
  <c r="Q6" i="7"/>
  <c r="S6" i="7"/>
  <c r="T6" i="7"/>
  <c r="C6" i="7"/>
  <c r="F6" i="7"/>
  <c r="G6" i="7"/>
  <c r="K6" i="7"/>
  <c r="N6" i="7"/>
  <c r="H6" i="7"/>
  <c r="M6" i="7"/>
  <c r="O6" i="7"/>
  <c r="R6" i="7"/>
  <c r="U6" i="7"/>
  <c r="C6" i="8"/>
  <c r="D6" i="8"/>
  <c r="E6" i="8"/>
  <c r="F6" i="8"/>
  <c r="G6" i="8"/>
  <c r="H6" i="8"/>
  <c r="I6" i="8"/>
  <c r="J6" i="8"/>
  <c r="K6" i="8"/>
  <c r="M6" i="8"/>
  <c r="N6" i="8"/>
  <c r="O6" i="8"/>
  <c r="P6" i="8"/>
  <c r="Q6" i="8"/>
  <c r="R6" i="8"/>
  <c r="S6" i="8"/>
  <c r="T6" i="8"/>
  <c r="U6" i="8"/>
  <c r="C6" i="4"/>
  <c r="D6" i="4"/>
  <c r="D7" i="4" s="1"/>
  <c r="E6" i="4"/>
  <c r="E7" i="4" s="1"/>
  <c r="F6" i="4"/>
  <c r="F7" i="4" s="1"/>
  <c r="G6" i="4"/>
  <c r="G7" i="4" s="1"/>
  <c r="H6" i="4"/>
  <c r="H7" i="4" s="1"/>
  <c r="I6" i="4"/>
  <c r="I7" i="4" s="1"/>
  <c r="J6" i="4"/>
  <c r="J7" i="4" s="1"/>
  <c r="K6" i="4"/>
  <c r="K7" i="4" s="1"/>
  <c r="M6" i="4"/>
  <c r="N6" i="4"/>
  <c r="N7" i="4" s="1"/>
  <c r="O6" i="4"/>
  <c r="O7" i="4" s="1"/>
  <c r="P6" i="4"/>
  <c r="P7" i="4" s="1"/>
  <c r="Q6" i="4"/>
  <c r="Q7" i="4" s="1"/>
  <c r="R6" i="4"/>
  <c r="R7" i="4" s="1"/>
  <c r="S6" i="4"/>
  <c r="S7" i="4" s="1"/>
  <c r="T6" i="4"/>
  <c r="T7" i="4" s="1"/>
  <c r="U6" i="4"/>
  <c r="U7" i="4" s="1"/>
  <c r="C6" i="5"/>
  <c r="D6" i="5"/>
  <c r="E6" i="5"/>
  <c r="F6" i="5"/>
  <c r="G6" i="5"/>
  <c r="H6" i="5"/>
  <c r="I6" i="5"/>
  <c r="J6" i="5"/>
  <c r="K6" i="5"/>
  <c r="M6" i="5"/>
  <c r="N6" i="5"/>
  <c r="O6" i="5"/>
  <c r="P6" i="5"/>
  <c r="Q6" i="5"/>
  <c r="R6" i="5"/>
  <c r="S6" i="5"/>
  <c r="T6" i="5"/>
  <c r="U6" i="5"/>
  <c r="L27" i="4" l="1"/>
  <c r="C28" i="4"/>
  <c r="L28" i="4" s="1"/>
  <c r="V27" i="4"/>
  <c r="M28" i="4"/>
  <c r="V28" i="4" s="1"/>
  <c r="L24" i="4"/>
  <c r="C25" i="4"/>
  <c r="L25" i="4" s="1"/>
  <c r="V24" i="4"/>
  <c r="M25" i="4"/>
  <c r="V25" i="4" s="1"/>
  <c r="L21" i="4"/>
  <c r="C22" i="4"/>
  <c r="L22" i="4" s="1"/>
  <c r="V21" i="4"/>
  <c r="M22" i="4"/>
  <c r="V22" i="4" s="1"/>
  <c r="L18" i="4"/>
  <c r="C19" i="4"/>
  <c r="L19" i="4" s="1"/>
  <c r="V18" i="4"/>
  <c r="M19" i="4"/>
  <c r="V19" i="4" s="1"/>
  <c r="L15" i="4"/>
  <c r="C16" i="4"/>
  <c r="L16" i="4" s="1"/>
  <c r="V15" i="4"/>
  <c r="M16" i="4"/>
  <c r="V16" i="4" s="1"/>
  <c r="L12" i="4"/>
  <c r="W12" i="4" s="1"/>
  <c r="C13" i="4"/>
  <c r="L13" i="4" s="1"/>
  <c r="V12" i="4"/>
  <c r="M13" i="4"/>
  <c r="V13" i="4" s="1"/>
  <c r="L9" i="4"/>
  <c r="C10" i="4"/>
  <c r="L10" i="4" s="1"/>
  <c r="V9" i="4"/>
  <c r="M10" i="4"/>
  <c r="V10" i="4" s="1"/>
  <c r="L6" i="4"/>
  <c r="C7" i="4"/>
  <c r="L7" i="4" s="1"/>
  <c r="V6" i="4"/>
  <c r="M7" i="4"/>
  <c r="V7" i="4" s="1"/>
  <c r="L27" i="8"/>
  <c r="V27" i="8"/>
  <c r="L27" i="5"/>
  <c r="W27" i="5" s="1"/>
  <c r="V27" i="5"/>
  <c r="L21" i="8"/>
  <c r="W21" i="8" s="1"/>
  <c r="V21" i="8"/>
  <c r="V27" i="7"/>
  <c r="W27" i="7" s="1"/>
  <c r="V21" i="5"/>
  <c r="V24" i="8"/>
  <c r="W24" i="8" s="1"/>
  <c r="L24" i="7"/>
  <c r="W24" i="7" s="1"/>
  <c r="L18" i="8"/>
  <c r="V18" i="8"/>
  <c r="L18" i="5"/>
  <c r="V18" i="5"/>
  <c r="L15" i="8"/>
  <c r="V15" i="8"/>
  <c r="L21" i="5"/>
  <c r="W21" i="5" s="1"/>
  <c r="L15" i="5"/>
  <c r="W15" i="5" s="1"/>
  <c r="V15" i="5"/>
  <c r="V15" i="7"/>
  <c r="W15" i="7" s="1"/>
  <c r="L12" i="7"/>
  <c r="W12" i="7" s="1"/>
  <c r="V12" i="7"/>
  <c r="L12" i="8"/>
  <c r="V12" i="8"/>
  <c r="L18" i="7"/>
  <c r="W18" i="7" s="1"/>
  <c r="L12" i="5"/>
  <c r="W12" i="5" s="1"/>
  <c r="V12" i="5"/>
  <c r="L9" i="7"/>
  <c r="W9" i="7" s="1"/>
  <c r="V9" i="7"/>
  <c r="L9" i="8"/>
  <c r="V9" i="8"/>
  <c r="L9" i="5"/>
  <c r="W9" i="5" s="1"/>
  <c r="V9" i="5"/>
  <c r="L6" i="7"/>
  <c r="V6" i="7"/>
  <c r="L6" i="5"/>
  <c r="V6" i="5"/>
  <c r="L21" i="7"/>
  <c r="V18" i="7"/>
  <c r="L6" i="8"/>
  <c r="V6" i="8"/>
  <c r="W24" i="5"/>
  <c r="V21" i="7"/>
  <c r="W13" i="4" l="1"/>
  <c r="D6" i="9" s="1"/>
  <c r="H6" i="9" s="1"/>
  <c r="W27" i="4"/>
  <c r="W28" i="4"/>
  <c r="D11" i="9" s="1"/>
  <c r="H11" i="9" s="1"/>
  <c r="W24" i="4"/>
  <c r="W25" i="4"/>
  <c r="D10" i="9" s="1"/>
  <c r="H10" i="9" s="1"/>
  <c r="W21" i="4"/>
  <c r="W22" i="4"/>
  <c r="D9" i="9" s="1"/>
  <c r="H9" i="9" s="1"/>
  <c r="W18" i="4"/>
  <c r="W19" i="4"/>
  <c r="D8" i="9" s="1"/>
  <c r="H8" i="9" s="1"/>
  <c r="W15" i="4"/>
  <c r="W16" i="4"/>
  <c r="D7" i="9" s="1"/>
  <c r="H7" i="9" s="1"/>
  <c r="W18" i="8"/>
  <c r="W18" i="5"/>
  <c r="W9" i="4"/>
  <c r="W10" i="4"/>
  <c r="D5" i="9" s="1"/>
  <c r="H5" i="9" s="1"/>
  <c r="W27" i="8"/>
  <c r="W15" i="8"/>
  <c r="W6" i="4"/>
  <c r="W7" i="4"/>
  <c r="D4" i="9" s="1"/>
  <c r="H4" i="9" s="1"/>
  <c r="W12" i="8"/>
  <c r="W6" i="7"/>
  <c r="W6" i="5"/>
  <c r="W21" i="7"/>
  <c r="W6" i="8"/>
  <c r="W9" i="8"/>
  <c r="I6" i="9" l="1"/>
  <c r="I4" i="9"/>
  <c r="I11" i="9"/>
  <c r="I10" i="9"/>
  <c r="I9" i="9"/>
  <c r="I8" i="9"/>
  <c r="I7" i="9"/>
  <c r="I5" i="9"/>
</calcChain>
</file>

<file path=xl/sharedStrings.xml><?xml version="1.0" encoding="utf-8"?>
<sst xmlns="http://schemas.openxmlformats.org/spreadsheetml/2006/main" count="257" uniqueCount="110">
  <si>
    <t>Scotland Golf Trip 2026 — Stableford Competition Rules</t>
  </si>
  <si>
    <t>What is Stableford?</t>
  </si>
  <si>
    <t>Stableford is a points-based scoring format. Instead of counting total strokes (stroke play), you score POINTS on every hole based on how your net score compares to par. Highest total points wins — not lowest strokes. A blow-up hole only costs you the points for that hole (min. 0), so one bad hole can't wreck your whole round the way it can in stroke play. That makes it ideal for a trip with mixed handicaps and a few pints the night before.</t>
  </si>
  <si>
    <t>Format for this trip: Individual Net Stableford</t>
  </si>
  <si>
    <t>Each player competes as an individual (not teams). Each player's handicap strokes are applied to give everyone a fair chance regardless of ability — see 'Handicap Strokes' below.</t>
  </si>
  <si>
    <t>Points Table (per hole, based on NET score vs. Par)</t>
  </si>
  <si>
    <t>Net Score vs. Par</t>
  </si>
  <si>
    <t>Points</t>
  </si>
  <si>
    <t>2 or more over par (net double bogey or worse)</t>
  </si>
  <si>
    <t>0</t>
  </si>
  <si>
    <t>1 over par (net bogey)</t>
  </si>
  <si>
    <t>1</t>
  </si>
  <si>
    <t>Par (net)</t>
  </si>
  <si>
    <t>2</t>
  </si>
  <si>
    <t>1 under par (net birdie)</t>
  </si>
  <si>
    <t>3</t>
  </si>
  <si>
    <t>2 under par (net eagle)</t>
  </si>
  <si>
    <t>4</t>
  </si>
  <si>
    <t>3 under par (net albatross)</t>
  </si>
  <si>
    <t>5</t>
  </si>
  <si>
    <t>Handicap Strokes — how many shots you get, and on which holes</t>
  </si>
  <si>
    <t>1) Each player has a Handicap Index (see the Players tab) — this doesn't change during the trip.</t>
  </si>
  <si>
    <t>2) Each course converts that Index into a Course Handicap using ITS OWN Slope Rating and Course Rating (that math is done for you on the Course Handicaps tab).</t>
  </si>
  <si>
    <t>3) We're playing everyone off their own full Course Handicap against scratch (0) — no adjustment relative to the group. The Course Handicaps tab does this math and auto-fills each round's 'Crs Hcp' column.</t>
  </si>
  <si>
    <t>4) Net score on a hole = Gross strokes taken − handicap strokes received on that hole.</t>
  </si>
  <si>
    <t>This workbook calculates all of this automatically — Course Handicaps tab feeds each round's 'Crs Hcp' column, which combines with Par, Stroke Index and gross scores to produce points. (Leven Links is the exception: no slope/rating was supplied, so enter Course Handicap manually there.)</t>
  </si>
  <si>
    <t>Winning the trip</t>
  </si>
  <si>
    <t>Each round is scored separately, then total Stableford points across all 4 rounds are added up on the Leaderboard tab. Most total points after 4 rounds wins. Round-by-round results are also worth calling out for daily bragging rights / side bets.</t>
  </si>
  <si>
    <t>Quick reference</t>
  </si>
  <si>
    <t>• Play the ball as it lies — this is a fun, honor-system trip, not a Rules of Golf exam. Use common sense for lost balls / unplayable lies (e.g. count it a double bogey net for points purposes and move on).</t>
  </si>
  <si>
    <t>• If you can't finish a hole, or it's clearly going to score 0 points, pick up and move to the next tee — that's normal practice in Stableford and speeds up play.</t>
  </si>
  <si>
    <t>• Ties on the Leaderboard: countback on the last round played, then last 9 holes of that round.</t>
  </si>
  <si>
    <t>Sources</t>
  </si>
  <si>
    <t>Stableford scoring rules — Wikipedia (en.wikipedia.org/wiki/Stableford), MyGolfSpy (mygolfspy.com/news-opinion/stableford-scoring-system), and bunkered.co.uk. Individual net Stableford format — USGA Committee Procedures (usga.org).</t>
  </si>
  <si>
    <t>Players &amp; Handicaps</t>
  </si>
  <si>
    <t>#</t>
  </si>
  <si>
    <t>Player</t>
  </si>
  <si>
    <t>Handicap Index</t>
  </si>
  <si>
    <t>Tees</t>
  </si>
  <si>
    <t>Notes</t>
  </si>
  <si>
    <t>Paul</t>
  </si>
  <si>
    <t>Senior</t>
  </si>
  <si>
    <t>David</t>
  </si>
  <si>
    <t>Jonathan</t>
  </si>
  <si>
    <t>Standard Men's</t>
  </si>
  <si>
    <t>Patrick</t>
  </si>
  <si>
    <t>Andrew</t>
  </si>
  <si>
    <t>Peter</t>
  </si>
  <si>
    <t>Fraser</t>
  </si>
  <si>
    <t>Colin</t>
  </si>
  <si>
    <t>Yellow cells = editable. Update Handicap Index or Tees here if they change during the trip.</t>
  </si>
  <si>
    <t>Course Handicaps — calculated from GHIN Handicap Index (full Course Handicap, playing to scratch/0)</t>
  </si>
  <si>
    <t>Course Handicap = ROUND(Handicap Index × Slope/113 + (Course Rating − Par)). Everyone plays their own full Course Handicap against scratch (0) — no adjustment relative to the group. These columns (F–I) are linked automatically into each round's 'Crs Hcp' column.</t>
  </si>
  <si>
    <t>Hcp Index</t>
  </si>
  <si>
    <t>Tee</t>
  </si>
  <si>
    <t>Category</t>
  </si>
  <si>
    <t>Old Course
Course Hcp</t>
  </si>
  <si>
    <t>Eden
Course Hcp</t>
  </si>
  <si>
    <t>Craigtoun
Course Hcp</t>
  </si>
  <si>
    <t>Crail
Course Hcp</t>
  </si>
  <si>
    <t>Old Course
Playing Hcp</t>
  </si>
  <si>
    <t>Eden
Playing Hcp</t>
  </si>
  <si>
    <t>Craigtoun
Playing Hcp</t>
  </si>
  <si>
    <t>Crail
Playing Hcp</t>
  </si>
  <si>
    <t>Slope/Rating source: club-provided course cards (see chat). Leven Links not included — no slope/rating supplied; enter its Course Handicap manually on that tab.</t>
  </si>
  <si>
    <t>Round 1 — The Eden Course, St Andrews Links  (Monday)</t>
  </si>
  <si>
    <t>Hole</t>
  </si>
  <si>
    <t>Crs Hcp</t>
  </si>
  <si>
    <t>OUT</t>
  </si>
  <si>
    <t>IN</t>
  </si>
  <si>
    <t>TOTAL</t>
  </si>
  <si>
    <t>Par</t>
  </si>
  <si>
    <t>Stroke Index</t>
  </si>
  <si>
    <t>Paul — Gross</t>
  </si>
  <si>
    <t>Paul — Strokes received</t>
  </si>
  <si>
    <t>Paul — Pts</t>
  </si>
  <si>
    <t>David — Gross</t>
  </si>
  <si>
    <t>David — Strokes received</t>
  </si>
  <si>
    <t>David — Pts</t>
  </si>
  <si>
    <t>Jonathan — Gross</t>
  </si>
  <si>
    <t>Jonathan — Strokes received</t>
  </si>
  <si>
    <t>Jonathan — Pts</t>
  </si>
  <si>
    <t>Patrick — Gross</t>
  </si>
  <si>
    <t>Patrick — Strokes received</t>
  </si>
  <si>
    <t>Patrick — Pts</t>
  </si>
  <si>
    <t>Andrew — Gross</t>
  </si>
  <si>
    <t>Andrew — Strokes received</t>
  </si>
  <si>
    <t>Andrew — Pts</t>
  </si>
  <si>
    <t>Peter — Gross</t>
  </si>
  <si>
    <t>Peter — Strokes received</t>
  </si>
  <si>
    <t>Peter — Pts</t>
  </si>
  <si>
    <t>Fraser — Gross</t>
  </si>
  <si>
    <t>Fraser — Strokes received</t>
  </si>
  <si>
    <t>Fraser — Pts</t>
  </si>
  <si>
    <t>Colin — Gross</t>
  </si>
  <si>
    <t>Colin — Strokes received</t>
  </si>
  <si>
    <t>Colin — Pts</t>
  </si>
  <si>
    <t>Yellow = fill in: Par &amp; Stroke Index from the course scorecard, Gross = strokes per hole. Crs Hcp (green) is auto-linked from the Course Handicaps tab — update handicaps there, not here. "Strokes received" and "Pts" rows calculate automatically.</t>
  </si>
  <si>
    <t>Round 2 — The Old Course, St Andrews Links  (Tuesday)</t>
  </si>
  <si>
    <t>Round 2 (Alt) — Leven Links (if your group plays here instead)  (Tuesday)</t>
  </si>
  <si>
    <t>Round 3 — Crail Golfing Society — Balcomie Links  (Wednesday)</t>
  </si>
  <si>
    <t>Round 4 — The Craigtoun Course, St Andrews Links  (Thursday)</t>
  </si>
  <si>
    <t>Leaderboard — Total Stableford Points</t>
  </si>
  <si>
    <t>Rd1 Eden</t>
  </si>
  <si>
    <t>Rd2 Old Course / Leven</t>
  </si>
  <si>
    <t>Rd3 Crail</t>
  </si>
  <si>
    <t>Rd4 Craigtoun</t>
  </si>
  <si>
    <t>Total</t>
  </si>
  <si>
    <t>Rank</t>
  </si>
  <si>
    <t>Rd2 column auto-picks whichever of Old Course / Leven Links has points entered — only fill in scores for the course your group actually 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</si>
</sst>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8"/>
      <color rgb="FF1F3864"/>
      <name val="Arial"/>
      <family val="2"/>
      <charset val="1"/>
    </font>
    <font>
      <b/>
      <sz val="12"/>
      <color rgb="FF1F3864"/>
      <name val="Arial"/>
      <family val="2"/>
      <charset val="1"/>
    </font>
    <font>
      <sz val="11"/>
      <name val="Arial"/>
      <family val="2"/>
      <charset val="1"/>
    </font>
    <font>
      <b/>
      <sz val="11"/>
      <name val="Arial"/>
      <family val="2"/>
      <charset val="1"/>
    </font>
    <font>
      <sz val="11"/>
      <name val="Arial"/>
      <family val="2"/>
    </font>
    <font>
      <b/>
      <sz val="16"/>
      <color rgb="FFFFFFFF"/>
      <name val="Arial"/>
      <family val="2"/>
      <charset val="1"/>
    </font>
    <font>
      <b/>
      <sz val="11"/>
      <color rgb="FFFFFFFF"/>
      <name val="Arial"/>
      <family val="2"/>
      <charset val="1"/>
    </font>
    <font>
      <i/>
      <sz val="10"/>
      <color rgb="FF666666"/>
      <name val="Arial"/>
      <family val="2"/>
      <charset val="1"/>
    </font>
    <font>
      <b/>
      <sz val="13"/>
      <color rgb="FFFFFFFF"/>
      <name val="Arial"/>
      <family val="2"/>
      <charset val="1"/>
    </font>
    <font>
      <i/>
      <sz val="9"/>
      <color rgb="FF666666"/>
      <name val="Arial"/>
      <family val="2"/>
    </font>
    <font>
      <i/>
      <sz val="9"/>
      <color rgb="FF666666"/>
      <name val="Arial"/>
      <family val="2"/>
      <charset val="1"/>
    </font>
    <font>
      <b/>
      <sz val="14"/>
      <color rgb="FFFFFFFF"/>
      <name val="Arial"/>
      <family val="2"/>
      <charset val="1"/>
    </font>
    <font>
      <b/>
      <sz val="11"/>
      <name val="Arial"/>
      <family val="2"/>
    </font>
  </fonts>
  <fills count="7">
    <fill>
      <patternFill patternType="none"/>
    </fill>
    <fill>
      <patternFill patternType="gray125"/>
    </fill>
    <fill>
      <patternFill patternType="solid">
        <fgColor rgb="FFD9E2F3"/>
        <bgColor rgb="FFD6E4D0"/>
      </patternFill>
    </fill>
    <fill>
      <patternFill patternType="solid">
        <fgColor rgb="FF1F3864"/>
        <bgColor rgb="FF333399"/>
      </patternFill>
    </fill>
    <fill>
      <patternFill patternType="solid">
        <fgColor rgb="FF375623"/>
        <bgColor rgb="FF333300"/>
      </patternFill>
    </fill>
    <fill>
      <patternFill patternType="solid">
        <fgColor rgb="FFFFF2CC"/>
        <bgColor rgb="FFFFFFFF"/>
      </patternFill>
    </fill>
    <fill>
      <patternFill patternType="solid">
        <fgColor rgb="FFD6E4D0"/>
        <bgColor rgb="FFD9E2F3"/>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10" fillId="0" borderId="0" xfId="0" applyFont="1"/>
    <xf numFmtId="0" fontId="12" fillId="3" borderId="0" xfId="0" applyFont="1" applyFill="1"/>
    <xf numFmtId="0" fontId="10" fillId="0" borderId="0" xfId="0" applyFont="1" applyAlignment="1">
      <alignment vertical="top" wrapText="1"/>
    </xf>
    <xf numFmtId="0" fontId="9" fillId="3" borderId="0" xfId="0" applyFont="1" applyFill="1"/>
    <xf numFmtId="0" fontId="1" fillId="0" borderId="0" xfId="0" applyFont="1"/>
    <xf numFmtId="0" fontId="11" fillId="0" borderId="0" xfId="0" applyFont="1"/>
    <xf numFmtId="0" fontId="6" fillId="3" borderId="0" xfId="0" applyFont="1" applyFill="1"/>
    <xf numFmtId="0" fontId="2" fillId="0" borderId="0" xfId="0" applyFont="1"/>
    <xf numFmtId="0" fontId="3" fillId="0" borderId="0" xfId="0" applyFont="1" applyAlignment="1">
      <alignment vertical="top" wrapText="1"/>
    </xf>
    <xf numFmtId="0" fontId="4" fillId="2" borderId="0" xfId="0" applyFont="1" applyFill="1"/>
    <xf numFmtId="0" fontId="3" fillId="0" borderId="0" xfId="0" applyFont="1"/>
    <xf numFmtId="0" fontId="3" fillId="0" borderId="0" xfId="0" applyFont="1" applyAlignment="1">
      <alignment horizontal="center"/>
    </xf>
    <xf numFmtId="0" fontId="5" fillId="0" borderId="0" xfId="0" applyFont="1" applyAlignment="1">
      <alignment vertical="top" wrapText="1"/>
    </xf>
    <xf numFmtId="0" fontId="7" fillId="4" borderId="1" xfId="0" applyFont="1" applyFill="1" applyBorder="1" applyAlignment="1">
      <alignment horizontal="center"/>
    </xf>
    <xf numFmtId="0" fontId="3" fillId="0" borderId="1" xfId="0" applyFont="1" applyBorder="1" applyAlignment="1">
      <alignment horizontal="center"/>
    </xf>
    <xf numFmtId="0" fontId="3" fillId="0" borderId="1" xfId="0" applyFont="1" applyBorder="1"/>
    <xf numFmtId="0" fontId="3" fillId="5" borderId="1" xfId="0" applyFont="1" applyFill="1" applyBorder="1" applyAlignment="1">
      <alignment horizontal="center"/>
    </xf>
    <xf numFmtId="0" fontId="3" fillId="0" borderId="1" xfId="0" applyFont="1" applyBorder="1" applyAlignment="1">
      <alignment horizontal="left"/>
    </xf>
    <xf numFmtId="0" fontId="8" fillId="0" borderId="0" xfId="0" applyFont="1"/>
    <xf numFmtId="0" fontId="7" fillId="4" borderId="1" xfId="0" applyFont="1" applyFill="1" applyBorder="1" applyAlignment="1">
      <alignment horizontal="center" vertical="center" wrapText="1"/>
    </xf>
    <xf numFmtId="0" fontId="4" fillId="2" borderId="1" xfId="0" applyFont="1" applyFill="1" applyBorder="1" applyAlignment="1">
      <alignment horizontal="center"/>
    </xf>
    <xf numFmtId="0" fontId="13" fillId="0" borderId="2" xfId="0" applyFont="1" applyBorder="1" applyAlignment="1">
      <alignment horizontal="left"/>
    </xf>
    <xf numFmtId="0" fontId="5" fillId="0" borderId="0" xfId="0" applyFont="1"/>
    <xf numFmtId="0" fontId="5" fillId="5" borderId="2" xfId="0" applyFont="1" applyFill="1" applyBorder="1" applyAlignment="1">
      <alignment horizontal="center"/>
    </xf>
    <xf numFmtId="0" fontId="5" fillId="0" borderId="2" xfId="0" applyFont="1" applyBorder="1" applyAlignment="1">
      <alignment horizontal="center"/>
    </xf>
    <xf numFmtId="0" fontId="13" fillId="0" borderId="2" xfId="0" applyFont="1" applyBorder="1"/>
    <xf numFmtId="0" fontId="5" fillId="6" borderId="2" xfId="0" applyFont="1" applyFill="1" applyBorder="1" applyAlignment="1">
      <alignment horizontal="center"/>
    </xf>
    <xf numFmtId="0" fontId="7" fillId="4"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D6E4D0"/>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
  <sheetViews>
    <sheetView showGridLines="0" topLeftCell="A5" zoomScaleNormal="100" workbookViewId="0">
      <selection activeCell="E1" sqref="E1"/>
    </sheetView>
  </sheetViews>
  <sheetFormatPr baseColWidth="10" defaultColWidth="8.6640625" defaultRowHeight="15" x14ac:dyDescent="0.2"/>
  <cols>
    <col min="1" max="1" width="3" customWidth="1"/>
    <col min="2" max="2" width="95" customWidth="1"/>
  </cols>
  <sheetData>
    <row r="1" spans="1:3" ht="30" customHeight="1" x14ac:dyDescent="0.25">
      <c r="A1" s="5" t="s">
        <v>0</v>
      </c>
      <c r="B1" s="5"/>
      <c r="C1" s="5"/>
    </row>
    <row r="3" spans="1:3" ht="15" customHeight="1" x14ac:dyDescent="0.2">
      <c r="B3" s="8" t="s">
        <v>1</v>
      </c>
    </row>
    <row r="4" spans="1:3" ht="30" customHeight="1" x14ac:dyDescent="0.2">
      <c r="B4" s="9" t="s">
        <v>2</v>
      </c>
    </row>
    <row r="6" spans="1:3" ht="15" customHeight="1" x14ac:dyDescent="0.2">
      <c r="B6" s="8" t="s">
        <v>3</v>
      </c>
    </row>
    <row r="7" spans="1:3" ht="30" customHeight="1" x14ac:dyDescent="0.2">
      <c r="B7" s="9" t="s">
        <v>4</v>
      </c>
    </row>
    <row r="9" spans="1:3" ht="15" customHeight="1" x14ac:dyDescent="0.2">
      <c r="B9" s="8" t="s">
        <v>5</v>
      </c>
    </row>
    <row r="11" spans="1:3" ht="15" customHeight="1" x14ac:dyDescent="0.2">
      <c r="B11" s="10" t="s">
        <v>6</v>
      </c>
      <c r="C11" s="10" t="s">
        <v>7</v>
      </c>
    </row>
    <row r="12" spans="1:3" ht="15" customHeight="1" x14ac:dyDescent="0.2">
      <c r="B12" s="11" t="s">
        <v>8</v>
      </c>
      <c r="C12" s="12" t="s">
        <v>9</v>
      </c>
    </row>
    <row r="13" spans="1:3" ht="15" customHeight="1" x14ac:dyDescent="0.2">
      <c r="B13" s="11" t="s">
        <v>10</v>
      </c>
      <c r="C13" s="12" t="s">
        <v>11</v>
      </c>
    </row>
    <row r="14" spans="1:3" ht="15" customHeight="1" x14ac:dyDescent="0.2">
      <c r="B14" s="11" t="s">
        <v>12</v>
      </c>
      <c r="C14" s="12" t="s">
        <v>13</v>
      </c>
    </row>
    <row r="15" spans="1:3" ht="15" customHeight="1" x14ac:dyDescent="0.2">
      <c r="B15" s="11" t="s">
        <v>14</v>
      </c>
      <c r="C15" s="12" t="s">
        <v>15</v>
      </c>
    </row>
    <row r="16" spans="1:3" ht="15" customHeight="1" x14ac:dyDescent="0.2">
      <c r="B16" s="11" t="s">
        <v>16</v>
      </c>
      <c r="C16" s="12" t="s">
        <v>17</v>
      </c>
    </row>
    <row r="17" spans="2:3" ht="15" customHeight="1" x14ac:dyDescent="0.2">
      <c r="B17" s="11" t="s">
        <v>18</v>
      </c>
      <c r="C17" s="12" t="s">
        <v>19</v>
      </c>
    </row>
    <row r="19" spans="2:3" ht="15" customHeight="1" x14ac:dyDescent="0.2">
      <c r="B19" s="8" t="s">
        <v>20</v>
      </c>
    </row>
    <row r="20" spans="2:3" ht="30" customHeight="1" x14ac:dyDescent="0.2">
      <c r="B20" s="9" t="s">
        <v>21</v>
      </c>
    </row>
    <row r="21" spans="2:3" ht="30" customHeight="1" x14ac:dyDescent="0.2">
      <c r="B21" s="9" t="s">
        <v>22</v>
      </c>
    </row>
    <row r="22" spans="2:3" ht="30" customHeight="1" x14ac:dyDescent="0.2">
      <c r="B22" s="13" t="s">
        <v>23</v>
      </c>
    </row>
    <row r="23" spans="2:3" ht="30" customHeight="1" x14ac:dyDescent="0.2">
      <c r="B23" s="9" t="s">
        <v>24</v>
      </c>
    </row>
    <row r="24" spans="2:3" ht="30" customHeight="1" x14ac:dyDescent="0.2">
      <c r="B24" s="13" t="s">
        <v>25</v>
      </c>
    </row>
    <row r="26" spans="2:3" ht="15" customHeight="1" x14ac:dyDescent="0.2">
      <c r="B26" s="8" t="s">
        <v>26</v>
      </c>
    </row>
    <row r="27" spans="2:3" ht="30" customHeight="1" x14ac:dyDescent="0.2">
      <c r="B27" s="9" t="s">
        <v>27</v>
      </c>
    </row>
    <row r="29" spans="2:3" ht="15" customHeight="1" x14ac:dyDescent="0.2">
      <c r="B29" s="8" t="s">
        <v>28</v>
      </c>
    </row>
    <row r="30" spans="2:3" ht="30" customHeight="1" x14ac:dyDescent="0.2">
      <c r="B30" s="9" t="s">
        <v>29</v>
      </c>
    </row>
    <row r="31" spans="2:3" ht="30" customHeight="1" x14ac:dyDescent="0.2">
      <c r="B31" s="9" t="s">
        <v>30</v>
      </c>
    </row>
    <row r="32" spans="2:3" ht="30" customHeight="1" x14ac:dyDescent="0.2">
      <c r="B32" s="9" t="s">
        <v>31</v>
      </c>
    </row>
    <row r="34" spans="2:2" ht="15" customHeight="1" x14ac:dyDescent="0.2">
      <c r="B34" s="8" t="s">
        <v>32</v>
      </c>
    </row>
    <row r="35" spans="2:2" ht="30" customHeight="1" x14ac:dyDescent="0.2">
      <c r="B35" s="9" t="s">
        <v>33</v>
      </c>
    </row>
  </sheetData>
  <mergeCells count="1">
    <mergeCell ref="A1:C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showGridLines="0" zoomScaleNormal="100" workbookViewId="0">
      <selection sqref="A1:E1"/>
    </sheetView>
  </sheetViews>
  <sheetFormatPr baseColWidth="10" defaultColWidth="8.6640625" defaultRowHeight="15" x14ac:dyDescent="0.2"/>
  <cols>
    <col min="1" max="1" width="4" customWidth="1"/>
    <col min="2" max="2" width="20" customWidth="1"/>
    <col min="3" max="4" width="16" customWidth="1"/>
    <col min="5" max="5" width="45" customWidth="1"/>
  </cols>
  <sheetData>
    <row r="1" spans="1:5" ht="25.5" customHeight="1" x14ac:dyDescent="0.2">
      <c r="A1" s="7" t="s">
        <v>34</v>
      </c>
      <c r="B1" s="7"/>
      <c r="C1" s="7"/>
      <c r="D1" s="7"/>
      <c r="E1" s="7"/>
    </row>
    <row r="3" spans="1:5" ht="15" customHeight="1" x14ac:dyDescent="0.2">
      <c r="A3" s="14" t="s">
        <v>35</v>
      </c>
      <c r="B3" s="14" t="s">
        <v>36</v>
      </c>
      <c r="C3" s="14" t="s">
        <v>37</v>
      </c>
      <c r="D3" s="14" t="s">
        <v>38</v>
      </c>
      <c r="E3" s="14" t="s">
        <v>39</v>
      </c>
    </row>
    <row r="4" spans="1:5" ht="15" customHeight="1" x14ac:dyDescent="0.2">
      <c r="A4" s="15">
        <v>1</v>
      </c>
      <c r="B4" s="16" t="s">
        <v>40</v>
      </c>
      <c r="C4" s="17">
        <v>18.7</v>
      </c>
      <c r="D4" s="18" t="s">
        <v>41</v>
      </c>
      <c r="E4" s="16"/>
    </row>
    <row r="5" spans="1:5" ht="15" customHeight="1" x14ac:dyDescent="0.2">
      <c r="A5" s="15">
        <v>2</v>
      </c>
      <c r="B5" s="16" t="s">
        <v>42</v>
      </c>
      <c r="C5" s="17">
        <v>18.5</v>
      </c>
      <c r="D5" s="18" t="s">
        <v>41</v>
      </c>
      <c r="E5" s="16"/>
    </row>
    <row r="6" spans="1:5" ht="15" customHeight="1" x14ac:dyDescent="0.2">
      <c r="A6" s="15">
        <v>3</v>
      </c>
      <c r="B6" s="16" t="s">
        <v>43</v>
      </c>
      <c r="C6" s="17">
        <v>12</v>
      </c>
      <c r="D6" s="18" t="s">
        <v>44</v>
      </c>
      <c r="E6" s="16"/>
    </row>
    <row r="7" spans="1:5" ht="15" customHeight="1" x14ac:dyDescent="0.2">
      <c r="A7" s="15">
        <v>4</v>
      </c>
      <c r="B7" s="16" t="s">
        <v>45</v>
      </c>
      <c r="C7" s="17">
        <v>22.5</v>
      </c>
      <c r="D7" s="18" t="s">
        <v>44</v>
      </c>
      <c r="E7" s="16"/>
    </row>
    <row r="8" spans="1:5" ht="15" customHeight="1" x14ac:dyDescent="0.2">
      <c r="A8" s="15">
        <v>5</v>
      </c>
      <c r="B8" s="16" t="s">
        <v>46</v>
      </c>
      <c r="C8" s="17">
        <v>25.6</v>
      </c>
      <c r="D8" s="18" t="s">
        <v>44</v>
      </c>
      <c r="E8" s="16"/>
    </row>
    <row r="9" spans="1:5" ht="15" customHeight="1" x14ac:dyDescent="0.2">
      <c r="A9" s="15">
        <v>6</v>
      </c>
      <c r="B9" s="16" t="s">
        <v>47</v>
      </c>
      <c r="C9" s="17">
        <v>18</v>
      </c>
      <c r="D9" s="18" t="s">
        <v>44</v>
      </c>
      <c r="E9" s="16"/>
    </row>
    <row r="10" spans="1:5" ht="15" customHeight="1" x14ac:dyDescent="0.2">
      <c r="A10" s="15">
        <v>7</v>
      </c>
      <c r="B10" s="16" t="s">
        <v>48</v>
      </c>
      <c r="C10" s="17">
        <v>14.9</v>
      </c>
      <c r="D10" s="18" t="s">
        <v>44</v>
      </c>
      <c r="E10" s="16"/>
    </row>
    <row r="11" spans="1:5" ht="15" customHeight="1" x14ac:dyDescent="0.2">
      <c r="A11" s="15">
        <v>8</v>
      </c>
      <c r="B11" s="16" t="s">
        <v>49</v>
      </c>
      <c r="C11" s="17">
        <v>25.1</v>
      </c>
      <c r="D11" s="18" t="s">
        <v>44</v>
      </c>
      <c r="E11" s="16"/>
    </row>
    <row r="13" spans="1:5" ht="15" customHeight="1" x14ac:dyDescent="0.2">
      <c r="B13" s="19" t="s">
        <v>50</v>
      </c>
    </row>
  </sheetData>
  <mergeCells count="1">
    <mergeCell ref="A1:E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
  <sheetViews>
    <sheetView showGridLines="0" zoomScaleNormal="100" workbookViewId="0">
      <selection activeCell="I23" sqref="I23"/>
    </sheetView>
  </sheetViews>
  <sheetFormatPr baseColWidth="10" defaultColWidth="8.6640625" defaultRowHeight="15" x14ac:dyDescent="0.2"/>
  <cols>
    <col min="1" max="1" width="4" customWidth="1"/>
    <col min="2" max="2" width="16" customWidth="1"/>
    <col min="3" max="3" width="12" customWidth="1"/>
    <col min="4" max="4" width="16" customWidth="1"/>
    <col min="5" max="5" width="11" customWidth="1"/>
    <col min="6" max="6" width="13" customWidth="1"/>
    <col min="7" max="7" width="12" customWidth="1"/>
    <col min="8" max="8" width="15" customWidth="1"/>
    <col min="9" max="9" width="12" customWidth="1"/>
    <col min="10" max="10" width="13" customWidth="1"/>
    <col min="11" max="11" width="12" customWidth="1"/>
    <col min="12" max="12" width="16" customWidth="1"/>
    <col min="13" max="13" width="12" customWidth="1"/>
  </cols>
  <sheetData>
    <row r="1" spans="1:13" ht="21.75" customHeight="1" x14ac:dyDescent="0.2">
      <c r="A1" s="4" t="s">
        <v>51</v>
      </c>
      <c r="B1" s="4"/>
      <c r="C1" s="4"/>
      <c r="D1" s="4"/>
      <c r="E1" s="4"/>
      <c r="F1" s="4"/>
      <c r="G1" s="4"/>
      <c r="H1" s="4"/>
      <c r="I1" s="4"/>
    </row>
    <row r="2" spans="1:13" ht="39.75" customHeight="1" x14ac:dyDescent="0.2">
      <c r="A2" s="3" t="s">
        <v>52</v>
      </c>
      <c r="B2" s="3"/>
      <c r="C2" s="3"/>
      <c r="D2" s="3"/>
      <c r="E2" s="3"/>
      <c r="F2" s="3"/>
      <c r="G2" s="3"/>
      <c r="H2" s="3"/>
      <c r="I2" s="3"/>
    </row>
    <row r="3" spans="1:13" ht="30" customHeight="1" x14ac:dyDescent="0.2">
      <c r="A3" s="20" t="s">
        <v>35</v>
      </c>
      <c r="B3" s="20" t="s">
        <v>36</v>
      </c>
      <c r="C3" s="20" t="s">
        <v>53</v>
      </c>
      <c r="D3" s="20" t="s">
        <v>54</v>
      </c>
      <c r="E3" s="20" t="s">
        <v>55</v>
      </c>
      <c r="F3" s="20" t="s">
        <v>56</v>
      </c>
      <c r="G3" s="20" t="s">
        <v>57</v>
      </c>
      <c r="H3" s="20" t="s">
        <v>58</v>
      </c>
      <c r="I3" s="20" t="s">
        <v>59</v>
      </c>
      <c r="J3" s="20" t="s">
        <v>60</v>
      </c>
      <c r="K3" s="20" t="s">
        <v>61</v>
      </c>
      <c r="L3" s="20" t="s">
        <v>62</v>
      </c>
      <c r="M3" s="20" t="s">
        <v>63</v>
      </c>
    </row>
    <row r="4" spans="1:13" ht="15" customHeight="1" x14ac:dyDescent="0.2">
      <c r="A4" s="15">
        <v>1</v>
      </c>
      <c r="B4" s="18" t="str">
        <f>Players!B4</f>
        <v>Paul</v>
      </c>
      <c r="C4" s="15">
        <f>Players!C4</f>
        <v>18.7</v>
      </c>
      <c r="D4" s="15" t="str">
        <f>Players!D4</f>
        <v>Senior</v>
      </c>
      <c r="E4" s="15" t="str">
        <f t="shared" ref="E4:E11" si="0">IF(D4="Senior","Senior","Standard")</f>
        <v>Senior</v>
      </c>
      <c r="F4" s="15">
        <f t="shared" ref="F4:F11" si="1">ROUND(C4*IF($E4="Senior",125,129)/113+IF($E4="Senior",69.9,71.4)-72,0)</f>
        <v>19</v>
      </c>
      <c r="G4" s="15">
        <f t="shared" ref="G4:G11" si="2">ROUND(C4*IF($E4="Senior",117,121)/113+IF($E4="Senior",67,68.9)-70,0)</f>
        <v>16</v>
      </c>
      <c r="H4" s="15">
        <f t="shared" ref="H4:H11" si="3">ROUND(C4*IF($E4="Senior",133,134)/113+IF($E4="Senior",70.6,72.7)-71,0)</f>
        <v>22</v>
      </c>
      <c r="I4" s="15">
        <f t="shared" ref="I4:I11" si="4">ROUND(C4*IF($E4="Senior",118,122)/113+IF($E4="Senior",67.6,69.7)-69,0)</f>
        <v>18</v>
      </c>
      <c r="J4" s="21">
        <f t="shared" ref="J4:J11" si="5">F4-MIN($F$4:$F$11)</f>
        <v>6</v>
      </c>
      <c r="K4" s="21">
        <f t="shared" ref="K4:K11" si="6">G4-MIN($G$4:$G$11)</f>
        <v>4</v>
      </c>
      <c r="L4" s="21">
        <f t="shared" ref="L4:L11" si="7">H4-MIN($H$4:$H$11)</f>
        <v>6</v>
      </c>
      <c r="M4" s="21">
        <f t="shared" ref="M4:M11" si="8">I4-MIN($I$4:$I$11)</f>
        <v>4</v>
      </c>
    </row>
    <row r="5" spans="1:13" ht="15" customHeight="1" x14ac:dyDescent="0.2">
      <c r="A5" s="15">
        <v>2</v>
      </c>
      <c r="B5" s="18" t="str">
        <f>Players!B5</f>
        <v>David</v>
      </c>
      <c r="C5" s="15">
        <f>Players!C5</f>
        <v>18.5</v>
      </c>
      <c r="D5" s="15" t="str">
        <f>Players!D5</f>
        <v>Senior</v>
      </c>
      <c r="E5" s="15" t="str">
        <f t="shared" si="0"/>
        <v>Senior</v>
      </c>
      <c r="F5" s="15">
        <f t="shared" si="1"/>
        <v>18</v>
      </c>
      <c r="G5" s="15">
        <f t="shared" si="2"/>
        <v>16</v>
      </c>
      <c r="H5" s="15">
        <f t="shared" si="3"/>
        <v>21</v>
      </c>
      <c r="I5" s="15">
        <f t="shared" si="4"/>
        <v>18</v>
      </c>
      <c r="J5" s="21">
        <f t="shared" si="5"/>
        <v>5</v>
      </c>
      <c r="K5" s="21">
        <f t="shared" si="6"/>
        <v>4</v>
      </c>
      <c r="L5" s="21">
        <f t="shared" si="7"/>
        <v>5</v>
      </c>
      <c r="M5" s="21">
        <f t="shared" si="8"/>
        <v>4</v>
      </c>
    </row>
    <row r="6" spans="1:13" ht="15" customHeight="1" x14ac:dyDescent="0.2">
      <c r="A6" s="15">
        <v>3</v>
      </c>
      <c r="B6" s="18" t="str">
        <f>Players!B6</f>
        <v>Jonathan</v>
      </c>
      <c r="C6" s="15">
        <f>Players!C6</f>
        <v>12</v>
      </c>
      <c r="D6" s="15" t="str">
        <f>Players!D6</f>
        <v>Standard Men's</v>
      </c>
      <c r="E6" s="15" t="str">
        <f t="shared" si="0"/>
        <v>Standard</v>
      </c>
      <c r="F6" s="15">
        <f t="shared" si="1"/>
        <v>13</v>
      </c>
      <c r="G6" s="15">
        <f t="shared" si="2"/>
        <v>12</v>
      </c>
      <c r="H6" s="15">
        <f t="shared" si="3"/>
        <v>16</v>
      </c>
      <c r="I6" s="15">
        <f t="shared" si="4"/>
        <v>14</v>
      </c>
      <c r="J6" s="21">
        <f t="shared" si="5"/>
        <v>0</v>
      </c>
      <c r="K6" s="21">
        <f t="shared" si="6"/>
        <v>0</v>
      </c>
      <c r="L6" s="21">
        <f t="shared" si="7"/>
        <v>0</v>
      </c>
      <c r="M6" s="21">
        <f t="shared" si="8"/>
        <v>0</v>
      </c>
    </row>
    <row r="7" spans="1:13" ht="15" customHeight="1" x14ac:dyDescent="0.2">
      <c r="A7" s="15">
        <v>4</v>
      </c>
      <c r="B7" s="18" t="str">
        <f>Players!B7</f>
        <v>Patrick</v>
      </c>
      <c r="C7" s="15">
        <f>Players!C7</f>
        <v>22.5</v>
      </c>
      <c r="D7" s="15" t="str">
        <f>Players!D7</f>
        <v>Standard Men's</v>
      </c>
      <c r="E7" s="15" t="str">
        <f t="shared" si="0"/>
        <v>Standard</v>
      </c>
      <c r="F7" s="15">
        <f t="shared" si="1"/>
        <v>25</v>
      </c>
      <c r="G7" s="15">
        <f t="shared" si="2"/>
        <v>23</v>
      </c>
      <c r="H7" s="15">
        <f t="shared" si="3"/>
        <v>28</v>
      </c>
      <c r="I7" s="15">
        <f t="shared" si="4"/>
        <v>25</v>
      </c>
      <c r="J7" s="21">
        <f t="shared" si="5"/>
        <v>12</v>
      </c>
      <c r="K7" s="21">
        <f t="shared" si="6"/>
        <v>11</v>
      </c>
      <c r="L7" s="21">
        <f t="shared" si="7"/>
        <v>12</v>
      </c>
      <c r="M7" s="21">
        <f t="shared" si="8"/>
        <v>11</v>
      </c>
    </row>
    <row r="8" spans="1:13" ht="15" customHeight="1" x14ac:dyDescent="0.2">
      <c r="A8" s="15">
        <v>5</v>
      </c>
      <c r="B8" s="18" t="str">
        <f>Players!B8</f>
        <v>Andrew</v>
      </c>
      <c r="C8" s="15">
        <f>Players!C8</f>
        <v>25.6</v>
      </c>
      <c r="D8" s="15" t="str">
        <f>Players!D8</f>
        <v>Standard Men's</v>
      </c>
      <c r="E8" s="15" t="str">
        <f t="shared" si="0"/>
        <v>Standard</v>
      </c>
      <c r="F8" s="15">
        <f t="shared" si="1"/>
        <v>29</v>
      </c>
      <c r="G8" s="15">
        <f t="shared" si="2"/>
        <v>26</v>
      </c>
      <c r="H8" s="15">
        <f t="shared" si="3"/>
        <v>32</v>
      </c>
      <c r="I8" s="15">
        <f t="shared" si="4"/>
        <v>28</v>
      </c>
      <c r="J8" s="21">
        <f t="shared" si="5"/>
        <v>16</v>
      </c>
      <c r="K8" s="21">
        <f t="shared" si="6"/>
        <v>14</v>
      </c>
      <c r="L8" s="21">
        <f t="shared" si="7"/>
        <v>16</v>
      </c>
      <c r="M8" s="21">
        <f t="shared" si="8"/>
        <v>14</v>
      </c>
    </row>
    <row r="9" spans="1:13" ht="15" customHeight="1" x14ac:dyDescent="0.2">
      <c r="A9" s="15">
        <v>6</v>
      </c>
      <c r="B9" s="18" t="str">
        <f>Players!B9</f>
        <v>Peter</v>
      </c>
      <c r="C9" s="15">
        <f>Players!C9</f>
        <v>18</v>
      </c>
      <c r="D9" s="15" t="str">
        <f>Players!D9</f>
        <v>Standard Men's</v>
      </c>
      <c r="E9" s="15" t="str">
        <f t="shared" si="0"/>
        <v>Standard</v>
      </c>
      <c r="F9" s="15">
        <f t="shared" si="1"/>
        <v>20</v>
      </c>
      <c r="G9" s="15">
        <f t="shared" si="2"/>
        <v>18</v>
      </c>
      <c r="H9" s="15">
        <f t="shared" si="3"/>
        <v>23</v>
      </c>
      <c r="I9" s="15">
        <f t="shared" si="4"/>
        <v>20</v>
      </c>
      <c r="J9" s="21">
        <f t="shared" si="5"/>
        <v>7</v>
      </c>
      <c r="K9" s="21">
        <f t="shared" si="6"/>
        <v>6</v>
      </c>
      <c r="L9" s="21">
        <f t="shared" si="7"/>
        <v>7</v>
      </c>
      <c r="M9" s="21">
        <f t="shared" si="8"/>
        <v>6</v>
      </c>
    </row>
    <row r="10" spans="1:13" ht="15" customHeight="1" x14ac:dyDescent="0.2">
      <c r="A10" s="15">
        <v>7</v>
      </c>
      <c r="B10" s="18" t="str">
        <f>Players!B10</f>
        <v>Fraser</v>
      </c>
      <c r="C10" s="15">
        <f>Players!C10</f>
        <v>14.9</v>
      </c>
      <c r="D10" s="15" t="str">
        <f>Players!D10</f>
        <v>Standard Men's</v>
      </c>
      <c r="E10" s="15" t="str">
        <f t="shared" si="0"/>
        <v>Standard</v>
      </c>
      <c r="F10" s="15">
        <f t="shared" si="1"/>
        <v>16</v>
      </c>
      <c r="G10" s="15">
        <f t="shared" si="2"/>
        <v>15</v>
      </c>
      <c r="H10" s="15">
        <f t="shared" si="3"/>
        <v>19</v>
      </c>
      <c r="I10" s="15">
        <f t="shared" si="4"/>
        <v>17</v>
      </c>
      <c r="J10" s="21">
        <f t="shared" si="5"/>
        <v>3</v>
      </c>
      <c r="K10" s="21">
        <f t="shared" si="6"/>
        <v>3</v>
      </c>
      <c r="L10" s="21">
        <f t="shared" si="7"/>
        <v>3</v>
      </c>
      <c r="M10" s="21">
        <f t="shared" si="8"/>
        <v>3</v>
      </c>
    </row>
    <row r="11" spans="1:13" ht="15" customHeight="1" x14ac:dyDescent="0.2">
      <c r="A11" s="15">
        <v>8</v>
      </c>
      <c r="B11" s="18" t="str">
        <f>Players!B11</f>
        <v>Colin</v>
      </c>
      <c r="C11" s="15">
        <f>Players!C11</f>
        <v>25.1</v>
      </c>
      <c r="D11" s="15" t="str">
        <f>Players!D11</f>
        <v>Standard Men's</v>
      </c>
      <c r="E11" s="15" t="str">
        <f t="shared" si="0"/>
        <v>Standard</v>
      </c>
      <c r="F11" s="15">
        <f t="shared" si="1"/>
        <v>28</v>
      </c>
      <c r="G11" s="15">
        <f t="shared" si="2"/>
        <v>26</v>
      </c>
      <c r="H11" s="15">
        <f t="shared" si="3"/>
        <v>31</v>
      </c>
      <c r="I11" s="15">
        <f t="shared" si="4"/>
        <v>28</v>
      </c>
      <c r="J11" s="21">
        <f t="shared" si="5"/>
        <v>15</v>
      </c>
      <c r="K11" s="21">
        <f t="shared" si="6"/>
        <v>14</v>
      </c>
      <c r="L11" s="21">
        <f t="shared" si="7"/>
        <v>15</v>
      </c>
      <c r="M11" s="21">
        <f t="shared" si="8"/>
        <v>14</v>
      </c>
    </row>
    <row r="13" spans="1:13" ht="15" customHeight="1" x14ac:dyDescent="0.2">
      <c r="B13" s="6" t="s">
        <v>64</v>
      </c>
      <c r="C13" s="6"/>
      <c r="D13" s="6"/>
      <c r="E13" s="6"/>
      <c r="F13" s="6"/>
      <c r="G13" s="6"/>
      <c r="H13" s="6"/>
      <c r="I13" s="6"/>
    </row>
  </sheetData>
  <mergeCells count="3">
    <mergeCell ref="A1:I1"/>
    <mergeCell ref="A2:I2"/>
    <mergeCell ref="B13:I1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0"/>
  <sheetViews>
    <sheetView showGridLines="0" tabSelected="1" zoomScale="140" zoomScaleNormal="140" workbookViewId="0">
      <pane xSplit="2" ySplit="4" topLeftCell="H5" activePane="bottomRight" state="frozen"/>
      <selection pane="topRight" activeCell="C1" sqref="C1"/>
      <selection pane="bottomLeft" activeCell="A5" sqref="A5"/>
      <selection pane="bottomRight" activeCell="W26" sqref="W26"/>
    </sheetView>
  </sheetViews>
  <sheetFormatPr baseColWidth="10" defaultColWidth="8.6640625" defaultRowHeight="15" x14ac:dyDescent="0.2"/>
  <cols>
    <col min="1" max="1" width="20" customWidth="1"/>
    <col min="2" max="2" width="9.33203125" customWidth="1"/>
    <col min="3" max="20" width="6.5" customWidth="1"/>
    <col min="21" max="21" width="7" customWidth="1"/>
    <col min="23" max="23" width="8" customWidth="1"/>
  </cols>
  <sheetData>
    <row r="1" spans="1:23" ht="24" customHeight="1" x14ac:dyDescent="0.2">
      <c r="A1" s="2" t="s">
        <v>65</v>
      </c>
      <c r="B1" s="2"/>
      <c r="C1" s="2"/>
      <c r="D1" s="2"/>
      <c r="E1" s="2"/>
      <c r="F1" s="2"/>
      <c r="G1" s="2"/>
      <c r="H1" s="2"/>
      <c r="I1" s="2"/>
      <c r="J1" s="2"/>
      <c r="K1" s="2"/>
      <c r="L1" s="2"/>
      <c r="M1" s="2"/>
      <c r="N1" s="2"/>
      <c r="O1" s="2"/>
      <c r="P1" s="2"/>
      <c r="Q1" s="2"/>
      <c r="R1" s="2"/>
      <c r="S1" s="2"/>
      <c r="T1" s="2"/>
      <c r="U1" s="2"/>
      <c r="V1" s="2"/>
      <c r="W1" s="2"/>
    </row>
    <row r="2" spans="1:23" ht="15" customHeight="1" x14ac:dyDescent="0.2">
      <c r="A2" s="14" t="s">
        <v>66</v>
      </c>
      <c r="B2" s="14" t="s">
        <v>67</v>
      </c>
      <c r="C2" s="14">
        <v>1</v>
      </c>
      <c r="D2" s="14">
        <v>2</v>
      </c>
      <c r="E2" s="14">
        <v>3</v>
      </c>
      <c r="F2" s="14">
        <v>4</v>
      </c>
      <c r="G2" s="14">
        <v>5</v>
      </c>
      <c r="H2" s="14">
        <v>6</v>
      </c>
      <c r="I2" s="14">
        <v>7</v>
      </c>
      <c r="J2" s="14">
        <v>8</v>
      </c>
      <c r="K2" s="14">
        <v>9</v>
      </c>
      <c r="L2" s="14" t="s">
        <v>68</v>
      </c>
      <c r="M2" s="14">
        <v>10</v>
      </c>
      <c r="N2" s="14">
        <v>11</v>
      </c>
      <c r="O2" s="14">
        <v>12</v>
      </c>
      <c r="P2" s="14">
        <v>13</v>
      </c>
      <c r="Q2" s="14">
        <v>14</v>
      </c>
      <c r="R2" s="14">
        <v>15</v>
      </c>
      <c r="S2" s="14">
        <v>16</v>
      </c>
      <c r="T2" s="14">
        <v>17</v>
      </c>
      <c r="U2" s="14">
        <v>18</v>
      </c>
      <c r="V2" s="14" t="s">
        <v>69</v>
      </c>
      <c r="W2" s="14" t="s">
        <v>70</v>
      </c>
    </row>
    <row r="3" spans="1:23" ht="15" customHeight="1" x14ac:dyDescent="0.2">
      <c r="A3" s="22" t="s">
        <v>71</v>
      </c>
      <c r="B3" s="23"/>
      <c r="C3" s="24">
        <v>4</v>
      </c>
      <c r="D3" s="24">
        <v>4</v>
      </c>
      <c r="E3" s="24">
        <v>4</v>
      </c>
      <c r="F3" s="24">
        <v>4</v>
      </c>
      <c r="G3" s="24">
        <v>3</v>
      </c>
      <c r="H3" s="24">
        <v>4</v>
      </c>
      <c r="I3" s="24">
        <v>4</v>
      </c>
      <c r="J3" s="24">
        <v>3</v>
      </c>
      <c r="K3" s="24">
        <v>5</v>
      </c>
      <c r="L3" s="25">
        <f>SUM(C3:K3)</f>
        <v>35</v>
      </c>
      <c r="M3" s="24">
        <v>3</v>
      </c>
      <c r="N3" s="24">
        <v>4</v>
      </c>
      <c r="O3" s="24">
        <v>4</v>
      </c>
      <c r="P3" s="24">
        <v>4</v>
      </c>
      <c r="Q3" s="24">
        <v>4</v>
      </c>
      <c r="R3" s="24">
        <v>3</v>
      </c>
      <c r="S3" s="24">
        <v>5</v>
      </c>
      <c r="T3" s="24">
        <v>4</v>
      </c>
      <c r="U3" s="24">
        <v>4</v>
      </c>
      <c r="V3" s="25">
        <f>SUM(M3:U3)</f>
        <v>35</v>
      </c>
      <c r="W3" s="25">
        <f>L3+V3</f>
        <v>70</v>
      </c>
    </row>
    <row r="4" spans="1:23" ht="15" customHeight="1" x14ac:dyDescent="0.2">
      <c r="A4" s="22" t="s">
        <v>72</v>
      </c>
      <c r="B4" s="23"/>
      <c r="C4" s="24">
        <v>11</v>
      </c>
      <c r="D4" s="24">
        <v>3</v>
      </c>
      <c r="E4" s="24">
        <v>8</v>
      </c>
      <c r="F4" s="24">
        <v>17</v>
      </c>
      <c r="G4" s="24">
        <v>15</v>
      </c>
      <c r="H4" s="24">
        <v>5</v>
      </c>
      <c r="I4" s="24">
        <v>13</v>
      </c>
      <c r="J4" s="24">
        <v>9</v>
      </c>
      <c r="K4" s="24">
        <v>1</v>
      </c>
      <c r="L4" s="23"/>
      <c r="M4" s="24">
        <v>14</v>
      </c>
      <c r="N4" s="24">
        <v>7</v>
      </c>
      <c r="O4" s="24">
        <v>16</v>
      </c>
      <c r="P4" s="24">
        <v>2</v>
      </c>
      <c r="Q4" s="24">
        <v>10</v>
      </c>
      <c r="R4" s="24">
        <v>18</v>
      </c>
      <c r="S4" s="24">
        <v>6</v>
      </c>
      <c r="T4" s="24">
        <v>4</v>
      </c>
      <c r="U4" s="24">
        <v>12</v>
      </c>
      <c r="V4" s="23"/>
      <c r="W4" s="23"/>
    </row>
    <row r="5" spans="1:23" ht="15" customHeight="1" x14ac:dyDescent="0.2">
      <c r="A5" s="26" t="s">
        <v>73</v>
      </c>
      <c r="B5" s="27">
        <f>'Course Handicaps'!G4</f>
        <v>16</v>
      </c>
      <c r="C5" s="24">
        <v>4</v>
      </c>
      <c r="D5" s="24">
        <v>7</v>
      </c>
      <c r="E5" s="24">
        <v>6</v>
      </c>
      <c r="F5" s="24">
        <v>5</v>
      </c>
      <c r="G5" s="24">
        <v>4</v>
      </c>
      <c r="H5" s="24">
        <v>6</v>
      </c>
      <c r="I5" s="24">
        <v>5</v>
      </c>
      <c r="J5" s="24">
        <v>4</v>
      </c>
      <c r="K5" s="24">
        <v>5</v>
      </c>
      <c r="L5" s="25">
        <f>IF(COUNT(C5:K5)=0,"",SUM(C5:K5))</f>
        <v>46</v>
      </c>
      <c r="M5" s="24">
        <v>3</v>
      </c>
      <c r="N5" s="24">
        <v>5</v>
      </c>
      <c r="O5" s="24">
        <v>4</v>
      </c>
      <c r="P5" s="24">
        <v>4</v>
      </c>
      <c r="Q5" s="24">
        <v>4</v>
      </c>
      <c r="R5" s="24">
        <v>3</v>
      </c>
      <c r="S5" s="24">
        <v>5</v>
      </c>
      <c r="T5" s="24">
        <v>6</v>
      </c>
      <c r="U5" s="24">
        <v>4</v>
      </c>
      <c r="V5" s="25">
        <f>IF(COUNT(M5:U5)=0,"",SUM(M5:U5))</f>
        <v>38</v>
      </c>
      <c r="W5" s="25">
        <f>IF(AND(L5="",V5=""),"",SUM(L5,V5))</f>
        <v>84</v>
      </c>
    </row>
    <row r="6" spans="1:23" ht="15" customHeight="1" x14ac:dyDescent="0.2">
      <c r="A6" s="26" t="s">
        <v>74</v>
      </c>
      <c r="B6" s="23"/>
      <c r="C6" s="25">
        <f t="shared" ref="C6:K6" si="0">IF($B5="","",FLOOR($B5/18,1)+IF(MOD($B5,18)&gt;=C$4,1,0))</f>
        <v>1</v>
      </c>
      <c r="D6" s="25">
        <f t="shared" si="0"/>
        <v>1</v>
      </c>
      <c r="E6" s="25">
        <f t="shared" si="0"/>
        <v>1</v>
      </c>
      <c r="F6" s="25">
        <f t="shared" si="0"/>
        <v>0</v>
      </c>
      <c r="G6" s="25">
        <f t="shared" si="0"/>
        <v>1</v>
      </c>
      <c r="H6" s="25">
        <f t="shared" si="0"/>
        <v>1</v>
      </c>
      <c r="I6" s="25">
        <f t="shared" si="0"/>
        <v>1</v>
      </c>
      <c r="J6" s="25">
        <f t="shared" si="0"/>
        <v>1</v>
      </c>
      <c r="K6" s="25">
        <f t="shared" si="0"/>
        <v>1</v>
      </c>
      <c r="L6" s="25">
        <f>IF(COUNT(C6:K6)=0,"",SUM(C6:K6))</f>
        <v>8</v>
      </c>
      <c r="M6" s="25">
        <f t="shared" ref="M6:U6" si="1">IF($B5="","",FLOOR($B5/18,1)+IF(MOD($B5,18)&gt;=M$4,1,0))</f>
        <v>1</v>
      </c>
      <c r="N6" s="25">
        <f t="shared" si="1"/>
        <v>1</v>
      </c>
      <c r="O6" s="25">
        <f t="shared" si="1"/>
        <v>1</v>
      </c>
      <c r="P6" s="25">
        <f t="shared" si="1"/>
        <v>1</v>
      </c>
      <c r="Q6" s="25">
        <f t="shared" si="1"/>
        <v>1</v>
      </c>
      <c r="R6" s="25">
        <f t="shared" si="1"/>
        <v>0</v>
      </c>
      <c r="S6" s="25">
        <f t="shared" si="1"/>
        <v>1</v>
      </c>
      <c r="T6" s="25">
        <f t="shared" si="1"/>
        <v>1</v>
      </c>
      <c r="U6" s="25">
        <f t="shared" si="1"/>
        <v>1</v>
      </c>
      <c r="V6" s="25">
        <f>IF(COUNT(M6:U6)=0,"",SUM(M6:U6))</f>
        <v>8</v>
      </c>
      <c r="W6" s="25">
        <f>IF(AND(L6="",V6=""),"",SUM(L6,V6))</f>
        <v>16</v>
      </c>
    </row>
    <row r="7" spans="1:23" ht="15" customHeight="1" x14ac:dyDescent="0.2">
      <c r="A7" s="26" t="s">
        <v>75</v>
      </c>
      <c r="B7" s="23"/>
      <c r="C7" s="25">
        <f t="shared" ref="C7:K7" si="2">IF(C5="","",MAX(0,2-((C5-C6)-C$3)))</f>
        <v>3</v>
      </c>
      <c r="D7" s="25">
        <f t="shared" si="2"/>
        <v>0</v>
      </c>
      <c r="E7" s="25">
        <f t="shared" si="2"/>
        <v>1</v>
      </c>
      <c r="F7" s="25">
        <f t="shared" si="2"/>
        <v>1</v>
      </c>
      <c r="G7" s="25">
        <f t="shared" si="2"/>
        <v>2</v>
      </c>
      <c r="H7" s="25">
        <f t="shared" si="2"/>
        <v>1</v>
      </c>
      <c r="I7" s="25">
        <f t="shared" si="2"/>
        <v>2</v>
      </c>
      <c r="J7" s="25">
        <f t="shared" si="2"/>
        <v>2</v>
      </c>
      <c r="K7" s="25">
        <f t="shared" si="2"/>
        <v>3</v>
      </c>
      <c r="L7" s="25">
        <f>SUM(C7:K7)</f>
        <v>15</v>
      </c>
      <c r="M7" s="25">
        <f t="shared" ref="M7:U7" si="3">IF(M5="","",MAX(0,2-((M5-M6)-M$3)))</f>
        <v>3</v>
      </c>
      <c r="N7" s="25">
        <f t="shared" si="3"/>
        <v>2</v>
      </c>
      <c r="O7" s="25">
        <f t="shared" si="3"/>
        <v>3</v>
      </c>
      <c r="P7" s="25">
        <f t="shared" si="3"/>
        <v>3</v>
      </c>
      <c r="Q7" s="25">
        <f t="shared" si="3"/>
        <v>3</v>
      </c>
      <c r="R7" s="25">
        <f t="shared" si="3"/>
        <v>2</v>
      </c>
      <c r="S7" s="25">
        <f t="shared" si="3"/>
        <v>3</v>
      </c>
      <c r="T7" s="25">
        <f t="shared" si="3"/>
        <v>1</v>
      </c>
      <c r="U7" s="25">
        <f t="shared" si="3"/>
        <v>3</v>
      </c>
      <c r="V7" s="25">
        <f>SUM(M7:U7)</f>
        <v>23</v>
      </c>
      <c r="W7" s="25">
        <f>L7+V7</f>
        <v>38</v>
      </c>
    </row>
    <row r="8" spans="1:23" ht="15" customHeight="1" x14ac:dyDescent="0.2">
      <c r="A8" s="26" t="s">
        <v>76</v>
      </c>
      <c r="B8" s="27">
        <f>'Course Handicaps'!G5</f>
        <v>16</v>
      </c>
      <c r="C8" s="24">
        <v>4</v>
      </c>
      <c r="D8" s="24">
        <v>5</v>
      </c>
      <c r="E8" s="24">
        <v>5</v>
      </c>
      <c r="F8" s="24">
        <v>3</v>
      </c>
      <c r="G8" s="24">
        <v>4</v>
      </c>
      <c r="H8" s="24">
        <v>5</v>
      </c>
      <c r="I8" s="24">
        <v>5</v>
      </c>
      <c r="J8" s="24">
        <v>4</v>
      </c>
      <c r="K8" s="24">
        <v>6</v>
      </c>
      <c r="L8" s="25">
        <f>IF(COUNT(C8:K8)=0,"",SUM(C8:K8))</f>
        <v>41</v>
      </c>
      <c r="M8" s="24">
        <v>5</v>
      </c>
      <c r="N8" s="24">
        <v>4</v>
      </c>
      <c r="O8" s="24">
        <v>3</v>
      </c>
      <c r="P8" s="24">
        <v>4</v>
      </c>
      <c r="Q8" s="24">
        <v>5</v>
      </c>
      <c r="R8" s="24">
        <v>4</v>
      </c>
      <c r="S8" s="24">
        <v>8</v>
      </c>
      <c r="T8" s="24">
        <v>5</v>
      </c>
      <c r="U8" s="24">
        <v>4</v>
      </c>
      <c r="V8" s="25">
        <f>IF(COUNT(M8:U8)=0,"",SUM(M8:U8))</f>
        <v>42</v>
      </c>
      <c r="W8" s="25">
        <f>IF(AND(L8="",V8=""),"",SUM(L8,V8))</f>
        <v>83</v>
      </c>
    </row>
    <row r="9" spans="1:23" ht="15" customHeight="1" x14ac:dyDescent="0.2">
      <c r="A9" s="26" t="s">
        <v>77</v>
      </c>
      <c r="B9" s="23"/>
      <c r="C9" s="25">
        <f t="shared" ref="C9:K9" si="4">IF($B8="","",FLOOR($B8/18,1)+IF(MOD($B8,18)&gt;=C$4,1,0))</f>
        <v>1</v>
      </c>
      <c r="D9" s="25">
        <f t="shared" si="4"/>
        <v>1</v>
      </c>
      <c r="E9" s="25">
        <f t="shared" si="4"/>
        <v>1</v>
      </c>
      <c r="F9" s="25">
        <f t="shared" si="4"/>
        <v>0</v>
      </c>
      <c r="G9" s="25">
        <f t="shared" si="4"/>
        <v>1</v>
      </c>
      <c r="H9" s="25">
        <f t="shared" si="4"/>
        <v>1</v>
      </c>
      <c r="I9" s="25">
        <f t="shared" si="4"/>
        <v>1</v>
      </c>
      <c r="J9" s="25">
        <f t="shared" si="4"/>
        <v>1</v>
      </c>
      <c r="K9" s="25">
        <f t="shared" si="4"/>
        <v>1</v>
      </c>
      <c r="L9" s="25">
        <f>IF(COUNT(C9:K9)=0,"",SUM(C9:K9))</f>
        <v>8</v>
      </c>
      <c r="M9" s="25">
        <f t="shared" ref="M9:U9" si="5">IF($B8="","",FLOOR($B8/18,1)+IF(MOD($B8,18)&gt;=M$4,1,0))</f>
        <v>1</v>
      </c>
      <c r="N9" s="25">
        <f t="shared" si="5"/>
        <v>1</v>
      </c>
      <c r="O9" s="25">
        <f t="shared" si="5"/>
        <v>1</v>
      </c>
      <c r="P9" s="25">
        <f t="shared" si="5"/>
        <v>1</v>
      </c>
      <c r="Q9" s="25">
        <f t="shared" si="5"/>
        <v>1</v>
      </c>
      <c r="R9" s="25">
        <f t="shared" si="5"/>
        <v>0</v>
      </c>
      <c r="S9" s="25">
        <f t="shared" si="5"/>
        <v>1</v>
      </c>
      <c r="T9" s="25">
        <f t="shared" si="5"/>
        <v>1</v>
      </c>
      <c r="U9" s="25">
        <f t="shared" si="5"/>
        <v>1</v>
      </c>
      <c r="V9" s="25">
        <f>IF(COUNT(M9:U9)=0,"",SUM(M9:U9))</f>
        <v>8</v>
      </c>
      <c r="W9" s="25">
        <f>IF(AND(L9="",V9=""),"",SUM(L9,V9))</f>
        <v>16</v>
      </c>
    </row>
    <row r="10" spans="1:23" ht="15" customHeight="1" x14ac:dyDescent="0.2">
      <c r="A10" s="26" t="s">
        <v>78</v>
      </c>
      <c r="B10" s="23"/>
      <c r="C10" s="25">
        <f t="shared" ref="C10:K10" si="6">IF(C8="","",MAX(0,2-((C8-C9)-C$3)))</f>
        <v>3</v>
      </c>
      <c r="D10" s="25">
        <f t="shared" si="6"/>
        <v>2</v>
      </c>
      <c r="E10" s="25">
        <f t="shared" si="6"/>
        <v>2</v>
      </c>
      <c r="F10" s="25">
        <f t="shared" si="6"/>
        <v>3</v>
      </c>
      <c r="G10" s="25">
        <f t="shared" si="6"/>
        <v>2</v>
      </c>
      <c r="H10" s="25">
        <f t="shared" si="6"/>
        <v>2</v>
      </c>
      <c r="I10" s="25">
        <f t="shared" si="6"/>
        <v>2</v>
      </c>
      <c r="J10" s="25">
        <f t="shared" si="6"/>
        <v>2</v>
      </c>
      <c r="K10" s="25">
        <f t="shared" si="6"/>
        <v>2</v>
      </c>
      <c r="L10" s="25">
        <f>SUM(C10:K10)</f>
        <v>20</v>
      </c>
      <c r="M10" s="25">
        <f t="shared" ref="M10:U10" si="7">IF(M8="","",MAX(0,2-((M8-M9)-M$3)))</f>
        <v>1</v>
      </c>
      <c r="N10" s="25">
        <f t="shared" si="7"/>
        <v>3</v>
      </c>
      <c r="O10" s="25">
        <f t="shared" si="7"/>
        <v>4</v>
      </c>
      <c r="P10" s="25">
        <f t="shared" si="7"/>
        <v>3</v>
      </c>
      <c r="Q10" s="25">
        <f t="shared" si="7"/>
        <v>2</v>
      </c>
      <c r="R10" s="25">
        <f t="shared" si="7"/>
        <v>1</v>
      </c>
      <c r="S10" s="25">
        <f t="shared" si="7"/>
        <v>0</v>
      </c>
      <c r="T10" s="25">
        <f t="shared" si="7"/>
        <v>2</v>
      </c>
      <c r="U10" s="25">
        <f t="shared" si="7"/>
        <v>3</v>
      </c>
      <c r="V10" s="25">
        <f>SUM(M10:U10)</f>
        <v>19</v>
      </c>
      <c r="W10" s="25">
        <f>L10+V10</f>
        <v>39</v>
      </c>
    </row>
    <row r="11" spans="1:23" ht="15" customHeight="1" x14ac:dyDescent="0.2">
      <c r="A11" s="26" t="s">
        <v>79</v>
      </c>
      <c r="B11" s="27">
        <f>'Course Handicaps'!G6</f>
        <v>12</v>
      </c>
      <c r="C11" s="24">
        <v>5</v>
      </c>
      <c r="D11" s="24">
        <v>7</v>
      </c>
      <c r="E11" s="24">
        <v>5</v>
      </c>
      <c r="F11" s="24">
        <v>4</v>
      </c>
      <c r="G11" s="24">
        <v>3</v>
      </c>
      <c r="H11" s="24">
        <v>4</v>
      </c>
      <c r="I11" s="24">
        <v>4</v>
      </c>
      <c r="J11" s="24">
        <v>3</v>
      </c>
      <c r="K11" s="24">
        <v>5</v>
      </c>
      <c r="L11" s="25">
        <f>IF(COUNT(C11:K11)=0,"",SUM(C11:K11))</f>
        <v>40</v>
      </c>
      <c r="M11" s="24">
        <v>4</v>
      </c>
      <c r="N11" s="24">
        <v>4</v>
      </c>
      <c r="O11" s="24">
        <v>5</v>
      </c>
      <c r="P11" s="24">
        <v>4</v>
      </c>
      <c r="Q11" s="24">
        <v>5</v>
      </c>
      <c r="R11" s="24">
        <v>3</v>
      </c>
      <c r="S11" s="24">
        <v>7</v>
      </c>
      <c r="T11" s="24">
        <v>5</v>
      </c>
      <c r="U11" s="24">
        <v>5</v>
      </c>
      <c r="V11" s="25">
        <f>IF(COUNT(M11:U11)=0,"",SUM(M11:U11))</f>
        <v>42</v>
      </c>
      <c r="W11" s="25">
        <f>IF(AND(L11="",V11=""),"",SUM(L11,V11))</f>
        <v>82</v>
      </c>
    </row>
    <row r="12" spans="1:23" ht="15" customHeight="1" x14ac:dyDescent="0.2">
      <c r="A12" s="26" t="s">
        <v>80</v>
      </c>
      <c r="B12" s="23"/>
      <c r="C12" s="25">
        <f t="shared" ref="C12:K12" si="8">IF($B11="","",FLOOR($B11/18,1)+IF(MOD($B11,18)&gt;=C$4,1,0))</f>
        <v>1</v>
      </c>
      <c r="D12" s="25">
        <f t="shared" si="8"/>
        <v>1</v>
      </c>
      <c r="E12" s="25">
        <f t="shared" si="8"/>
        <v>1</v>
      </c>
      <c r="F12" s="25">
        <f t="shared" si="8"/>
        <v>0</v>
      </c>
      <c r="G12" s="25">
        <f t="shared" si="8"/>
        <v>0</v>
      </c>
      <c r="H12" s="25">
        <f t="shared" si="8"/>
        <v>1</v>
      </c>
      <c r="I12" s="25">
        <f t="shared" si="8"/>
        <v>0</v>
      </c>
      <c r="J12" s="25">
        <f t="shared" si="8"/>
        <v>1</v>
      </c>
      <c r="K12" s="25">
        <f t="shared" si="8"/>
        <v>1</v>
      </c>
      <c r="L12" s="25">
        <f>IF(COUNT(C12:K12)=0,"",SUM(C12:K12))</f>
        <v>6</v>
      </c>
      <c r="M12" s="25">
        <f t="shared" ref="M12:U12" si="9">IF($B11="","",FLOOR($B11/18,1)+IF(MOD($B11,18)&gt;=M$4,1,0))</f>
        <v>0</v>
      </c>
      <c r="N12" s="25">
        <f t="shared" si="9"/>
        <v>1</v>
      </c>
      <c r="O12" s="25">
        <f t="shared" si="9"/>
        <v>0</v>
      </c>
      <c r="P12" s="25">
        <f t="shared" si="9"/>
        <v>1</v>
      </c>
      <c r="Q12" s="25">
        <f t="shared" si="9"/>
        <v>1</v>
      </c>
      <c r="R12" s="25">
        <f t="shared" si="9"/>
        <v>0</v>
      </c>
      <c r="S12" s="25">
        <f t="shared" si="9"/>
        <v>1</v>
      </c>
      <c r="T12" s="25">
        <f t="shared" si="9"/>
        <v>1</v>
      </c>
      <c r="U12" s="25">
        <f t="shared" si="9"/>
        <v>1</v>
      </c>
      <c r="V12" s="25">
        <f>IF(COUNT(M12:U12)=0,"",SUM(M12:U12))</f>
        <v>6</v>
      </c>
      <c r="W12" s="25">
        <f>IF(AND(L12="",V12=""),"",SUM(L12,V12))</f>
        <v>12</v>
      </c>
    </row>
    <row r="13" spans="1:23" ht="15" customHeight="1" x14ac:dyDescent="0.2">
      <c r="A13" s="26" t="s">
        <v>81</v>
      </c>
      <c r="B13" s="23"/>
      <c r="C13" s="25">
        <f t="shared" ref="C13:K13" si="10">IF(C11="","",MAX(0,2-((C11-C12)-C$3)))</f>
        <v>2</v>
      </c>
      <c r="D13" s="25">
        <f t="shared" si="10"/>
        <v>0</v>
      </c>
      <c r="E13" s="25">
        <f t="shared" si="10"/>
        <v>2</v>
      </c>
      <c r="F13" s="25">
        <f t="shared" si="10"/>
        <v>2</v>
      </c>
      <c r="G13" s="25">
        <f t="shared" si="10"/>
        <v>2</v>
      </c>
      <c r="H13" s="25">
        <f t="shared" si="10"/>
        <v>3</v>
      </c>
      <c r="I13" s="25">
        <f t="shared" si="10"/>
        <v>2</v>
      </c>
      <c r="J13" s="25">
        <f t="shared" si="10"/>
        <v>3</v>
      </c>
      <c r="K13" s="25">
        <f t="shared" si="10"/>
        <v>3</v>
      </c>
      <c r="L13" s="25">
        <f>SUM(C13:K13)</f>
        <v>19</v>
      </c>
      <c r="M13" s="25">
        <f t="shared" ref="M13:U13" si="11">IF(M11="","",MAX(0,2-((M11-M12)-M$3)))</f>
        <v>1</v>
      </c>
      <c r="N13" s="25">
        <f t="shared" si="11"/>
        <v>3</v>
      </c>
      <c r="O13" s="25">
        <f t="shared" si="11"/>
        <v>1</v>
      </c>
      <c r="P13" s="25">
        <f t="shared" si="11"/>
        <v>3</v>
      </c>
      <c r="Q13" s="25">
        <f t="shared" si="11"/>
        <v>2</v>
      </c>
      <c r="R13" s="25">
        <f t="shared" si="11"/>
        <v>2</v>
      </c>
      <c r="S13" s="25">
        <f t="shared" si="11"/>
        <v>1</v>
      </c>
      <c r="T13" s="25">
        <f t="shared" si="11"/>
        <v>2</v>
      </c>
      <c r="U13" s="25">
        <f t="shared" si="11"/>
        <v>2</v>
      </c>
      <c r="V13" s="25">
        <f>SUM(M13:U13)</f>
        <v>17</v>
      </c>
      <c r="W13" s="25">
        <f>L13+V13</f>
        <v>36</v>
      </c>
    </row>
    <row r="14" spans="1:23" ht="15" customHeight="1" x14ac:dyDescent="0.2">
      <c r="A14" s="26" t="s">
        <v>82</v>
      </c>
      <c r="B14" s="27">
        <f>'Course Handicaps'!G7</f>
        <v>23</v>
      </c>
      <c r="C14" s="24">
        <v>6</v>
      </c>
      <c r="D14" s="24">
        <v>7</v>
      </c>
      <c r="E14" s="24">
        <v>6</v>
      </c>
      <c r="F14" s="24">
        <v>4</v>
      </c>
      <c r="G14" s="24">
        <v>2</v>
      </c>
      <c r="H14" s="24">
        <v>5</v>
      </c>
      <c r="I14" s="24">
        <v>6</v>
      </c>
      <c r="J14" s="24">
        <v>6</v>
      </c>
      <c r="K14" s="24">
        <v>6</v>
      </c>
      <c r="L14" s="25">
        <f>IF(COUNT(C14:K14)=0,"",SUM(C14:K14))</f>
        <v>48</v>
      </c>
      <c r="M14" s="24">
        <v>4</v>
      </c>
      <c r="N14" s="24">
        <v>5</v>
      </c>
      <c r="O14" s="24">
        <v>6</v>
      </c>
      <c r="P14" s="24">
        <v>6</v>
      </c>
      <c r="Q14" s="24">
        <v>6</v>
      </c>
      <c r="R14" s="24">
        <v>5</v>
      </c>
      <c r="S14" s="24">
        <v>5</v>
      </c>
      <c r="T14" s="24">
        <v>6</v>
      </c>
      <c r="U14" s="24">
        <v>5</v>
      </c>
      <c r="V14" s="25">
        <f>IF(COUNT(M14:U14)=0,"",SUM(M14:U14))</f>
        <v>48</v>
      </c>
      <c r="W14" s="25">
        <f>IF(AND(L14="",V14=""),"",SUM(L14,V14))</f>
        <v>96</v>
      </c>
    </row>
    <row r="15" spans="1:23" ht="15" customHeight="1" x14ac:dyDescent="0.2">
      <c r="A15" s="26" t="s">
        <v>83</v>
      </c>
      <c r="B15" s="23"/>
      <c r="C15" s="25">
        <f t="shared" ref="C15:K15" si="12">IF($B14="","",FLOOR($B14/18,1)+IF(MOD($B14,18)&gt;=C$4,1,0))</f>
        <v>1</v>
      </c>
      <c r="D15" s="25">
        <f t="shared" si="12"/>
        <v>2</v>
      </c>
      <c r="E15" s="25">
        <f t="shared" si="12"/>
        <v>1</v>
      </c>
      <c r="F15" s="25">
        <f t="shared" si="12"/>
        <v>1</v>
      </c>
      <c r="G15" s="25">
        <f t="shared" si="12"/>
        <v>1</v>
      </c>
      <c r="H15" s="25">
        <f t="shared" si="12"/>
        <v>2</v>
      </c>
      <c r="I15" s="25">
        <f t="shared" si="12"/>
        <v>1</v>
      </c>
      <c r="J15" s="25">
        <f t="shared" si="12"/>
        <v>1</v>
      </c>
      <c r="K15" s="25">
        <f t="shared" si="12"/>
        <v>2</v>
      </c>
      <c r="L15" s="25">
        <f>IF(COUNT(C15:K15)=0,"",SUM(C15:K15))</f>
        <v>12</v>
      </c>
      <c r="M15" s="25">
        <f t="shared" ref="M15:U15" si="13">IF($B14="","",FLOOR($B14/18,1)+IF(MOD($B14,18)&gt;=M$4,1,0))</f>
        <v>1</v>
      </c>
      <c r="N15" s="25">
        <f t="shared" si="13"/>
        <v>1</v>
      </c>
      <c r="O15" s="25">
        <f t="shared" si="13"/>
        <v>1</v>
      </c>
      <c r="P15" s="25">
        <f t="shared" si="13"/>
        <v>2</v>
      </c>
      <c r="Q15" s="25">
        <f t="shared" si="13"/>
        <v>1</v>
      </c>
      <c r="R15" s="25">
        <f t="shared" si="13"/>
        <v>1</v>
      </c>
      <c r="S15" s="25">
        <f t="shared" si="13"/>
        <v>1</v>
      </c>
      <c r="T15" s="25">
        <f t="shared" si="13"/>
        <v>2</v>
      </c>
      <c r="U15" s="25">
        <f t="shared" si="13"/>
        <v>1</v>
      </c>
      <c r="V15" s="25">
        <f>IF(COUNT(M15:U15)=0,"",SUM(M15:U15))</f>
        <v>11</v>
      </c>
      <c r="W15" s="25">
        <f>IF(AND(L15="",V15=""),"",SUM(L15,V15))</f>
        <v>23</v>
      </c>
    </row>
    <row r="16" spans="1:23" ht="15" customHeight="1" x14ac:dyDescent="0.2">
      <c r="A16" s="26" t="s">
        <v>84</v>
      </c>
      <c r="B16" s="23"/>
      <c r="C16" s="25">
        <f t="shared" ref="C16:K16" si="14">IF(C14="","",MAX(0,2-((C14-C15)-C$3)))</f>
        <v>1</v>
      </c>
      <c r="D16" s="25">
        <f t="shared" si="14"/>
        <v>1</v>
      </c>
      <c r="E16" s="25">
        <f t="shared" si="14"/>
        <v>1</v>
      </c>
      <c r="F16" s="25">
        <f t="shared" si="14"/>
        <v>3</v>
      </c>
      <c r="G16" s="25">
        <f t="shared" si="14"/>
        <v>4</v>
      </c>
      <c r="H16" s="25">
        <f t="shared" si="14"/>
        <v>3</v>
      </c>
      <c r="I16" s="25">
        <f t="shared" si="14"/>
        <v>1</v>
      </c>
      <c r="J16" s="25">
        <f t="shared" si="14"/>
        <v>0</v>
      </c>
      <c r="K16" s="25">
        <f t="shared" si="14"/>
        <v>3</v>
      </c>
      <c r="L16" s="25">
        <f>SUM(C16:K16)</f>
        <v>17</v>
      </c>
      <c r="M16" s="25">
        <f t="shared" ref="M16:U16" si="15">IF(M14="","",MAX(0,2-((M14-M15)-M$3)))</f>
        <v>2</v>
      </c>
      <c r="N16" s="25">
        <f t="shared" si="15"/>
        <v>2</v>
      </c>
      <c r="O16" s="25">
        <f t="shared" si="15"/>
        <v>1</v>
      </c>
      <c r="P16" s="25">
        <f t="shared" si="15"/>
        <v>2</v>
      </c>
      <c r="Q16" s="25">
        <f t="shared" si="15"/>
        <v>1</v>
      </c>
      <c r="R16" s="25">
        <f t="shared" si="15"/>
        <v>1</v>
      </c>
      <c r="S16" s="25">
        <f t="shared" si="15"/>
        <v>3</v>
      </c>
      <c r="T16" s="25">
        <f t="shared" si="15"/>
        <v>2</v>
      </c>
      <c r="U16" s="25">
        <f t="shared" si="15"/>
        <v>2</v>
      </c>
      <c r="V16" s="25">
        <f>SUM(M16:U16)</f>
        <v>16</v>
      </c>
      <c r="W16" s="25">
        <f>L16+V16</f>
        <v>33</v>
      </c>
    </row>
    <row r="17" spans="1:23" ht="15" customHeight="1" x14ac:dyDescent="0.2">
      <c r="A17" s="26" t="s">
        <v>85</v>
      </c>
      <c r="B17" s="27">
        <f>'Course Handicaps'!G8</f>
        <v>26</v>
      </c>
      <c r="C17" s="24">
        <v>4</v>
      </c>
      <c r="D17" s="24">
        <v>5</v>
      </c>
      <c r="E17" s="24">
        <v>5</v>
      </c>
      <c r="F17" s="24">
        <v>5</v>
      </c>
      <c r="G17" s="24">
        <v>5</v>
      </c>
      <c r="H17" s="24">
        <v>5</v>
      </c>
      <c r="I17" s="24">
        <v>6</v>
      </c>
      <c r="J17" s="24">
        <v>5</v>
      </c>
      <c r="K17" s="24">
        <v>6</v>
      </c>
      <c r="L17" s="25">
        <f>IF(COUNT(C17:K17)=0,"",SUM(C17:K17))</f>
        <v>46</v>
      </c>
      <c r="M17" s="24">
        <v>7</v>
      </c>
      <c r="N17" s="24">
        <v>7</v>
      </c>
      <c r="O17" s="24">
        <v>6</v>
      </c>
      <c r="P17" s="24">
        <v>6</v>
      </c>
      <c r="Q17" s="24">
        <v>4</v>
      </c>
      <c r="R17" s="24">
        <v>5</v>
      </c>
      <c r="S17" s="24">
        <v>8</v>
      </c>
      <c r="T17" s="24">
        <v>6</v>
      </c>
      <c r="U17" s="24">
        <v>6</v>
      </c>
      <c r="V17" s="25">
        <f>IF(COUNT(M17:U17)=0,"",SUM(M17:U17))</f>
        <v>55</v>
      </c>
      <c r="W17" s="25">
        <f>IF(AND(L17="",V17=""),"",SUM(L17,V17))</f>
        <v>101</v>
      </c>
    </row>
    <row r="18" spans="1:23" ht="15" customHeight="1" x14ac:dyDescent="0.2">
      <c r="A18" s="26" t="s">
        <v>86</v>
      </c>
      <c r="B18" s="23"/>
      <c r="C18" s="25">
        <f t="shared" ref="C18:K18" si="16">IF($B17="","",FLOOR($B17/18,1)+IF(MOD($B17,18)&gt;=C$4,1,0))</f>
        <v>1</v>
      </c>
      <c r="D18" s="25">
        <f t="shared" si="16"/>
        <v>2</v>
      </c>
      <c r="E18" s="25">
        <f t="shared" si="16"/>
        <v>2</v>
      </c>
      <c r="F18" s="25">
        <f t="shared" si="16"/>
        <v>1</v>
      </c>
      <c r="G18" s="25">
        <f t="shared" si="16"/>
        <v>1</v>
      </c>
      <c r="H18" s="25">
        <f t="shared" si="16"/>
        <v>2</v>
      </c>
      <c r="I18" s="25">
        <f t="shared" si="16"/>
        <v>1</v>
      </c>
      <c r="J18" s="25">
        <f t="shared" si="16"/>
        <v>1</v>
      </c>
      <c r="K18" s="25">
        <f t="shared" si="16"/>
        <v>2</v>
      </c>
      <c r="L18" s="25">
        <f>IF(COUNT(C18:K18)=0,"",SUM(C18:K18))</f>
        <v>13</v>
      </c>
      <c r="M18" s="25">
        <f t="shared" ref="M18:U18" si="17">IF($B17="","",FLOOR($B17/18,1)+IF(MOD($B17,18)&gt;=M$4,1,0))</f>
        <v>1</v>
      </c>
      <c r="N18" s="25">
        <f t="shared" si="17"/>
        <v>2</v>
      </c>
      <c r="O18" s="25">
        <f t="shared" si="17"/>
        <v>1</v>
      </c>
      <c r="P18" s="25">
        <f t="shared" si="17"/>
        <v>2</v>
      </c>
      <c r="Q18" s="25">
        <f t="shared" si="17"/>
        <v>1</v>
      </c>
      <c r="R18" s="25">
        <f t="shared" si="17"/>
        <v>1</v>
      </c>
      <c r="S18" s="25">
        <f t="shared" si="17"/>
        <v>2</v>
      </c>
      <c r="T18" s="25">
        <f t="shared" si="17"/>
        <v>2</v>
      </c>
      <c r="U18" s="25">
        <f t="shared" si="17"/>
        <v>1</v>
      </c>
      <c r="V18" s="25">
        <f>IF(COUNT(M18:U18)=0,"",SUM(M18:U18))</f>
        <v>13</v>
      </c>
      <c r="W18" s="25">
        <f>IF(AND(L18="",V18=""),"",SUM(L18,V18))</f>
        <v>26</v>
      </c>
    </row>
    <row r="19" spans="1:23" ht="15" customHeight="1" x14ac:dyDescent="0.2">
      <c r="A19" s="26" t="s">
        <v>87</v>
      </c>
      <c r="B19" s="23"/>
      <c r="C19" s="25">
        <f t="shared" ref="C19:K19" si="18">IF(C17="","",MAX(0,2-((C17-C18)-C$3)))</f>
        <v>3</v>
      </c>
      <c r="D19" s="25">
        <f t="shared" si="18"/>
        <v>3</v>
      </c>
      <c r="E19" s="25">
        <f t="shared" si="18"/>
        <v>3</v>
      </c>
      <c r="F19" s="25">
        <f t="shared" si="18"/>
        <v>2</v>
      </c>
      <c r="G19" s="25">
        <f t="shared" si="18"/>
        <v>1</v>
      </c>
      <c r="H19" s="25">
        <f t="shared" si="18"/>
        <v>3</v>
      </c>
      <c r="I19" s="25">
        <f t="shared" si="18"/>
        <v>1</v>
      </c>
      <c r="J19" s="25">
        <f t="shared" si="18"/>
        <v>1</v>
      </c>
      <c r="K19" s="25">
        <f t="shared" si="18"/>
        <v>3</v>
      </c>
      <c r="L19" s="25">
        <f>SUM(C19:K19)</f>
        <v>20</v>
      </c>
      <c r="M19" s="25">
        <f t="shared" ref="M19:U19" si="19">IF(M17="","",MAX(0,2-((M17-M18)-M$3)))</f>
        <v>0</v>
      </c>
      <c r="N19" s="25">
        <f t="shared" si="19"/>
        <v>1</v>
      </c>
      <c r="O19" s="25">
        <f t="shared" si="19"/>
        <v>1</v>
      </c>
      <c r="P19" s="25">
        <f t="shared" si="19"/>
        <v>2</v>
      </c>
      <c r="Q19" s="25">
        <f t="shared" si="19"/>
        <v>3</v>
      </c>
      <c r="R19" s="25">
        <f t="shared" si="19"/>
        <v>1</v>
      </c>
      <c r="S19" s="25">
        <f t="shared" si="19"/>
        <v>1</v>
      </c>
      <c r="T19" s="25">
        <f t="shared" si="19"/>
        <v>2</v>
      </c>
      <c r="U19" s="25">
        <f t="shared" si="19"/>
        <v>1</v>
      </c>
      <c r="V19" s="25">
        <f>SUM(M19:U19)</f>
        <v>12</v>
      </c>
      <c r="W19" s="25">
        <f>L19+V19</f>
        <v>32</v>
      </c>
    </row>
    <row r="20" spans="1:23" ht="15" customHeight="1" x14ac:dyDescent="0.2">
      <c r="A20" s="26" t="s">
        <v>88</v>
      </c>
      <c r="B20" s="27">
        <f>'Course Handicaps'!G9</f>
        <v>18</v>
      </c>
      <c r="C20" s="24">
        <v>5</v>
      </c>
      <c r="D20" s="24">
        <v>6</v>
      </c>
      <c r="E20" s="24">
        <v>5</v>
      </c>
      <c r="F20" s="24">
        <v>5</v>
      </c>
      <c r="G20" s="24">
        <v>4</v>
      </c>
      <c r="H20" s="24">
        <v>4</v>
      </c>
      <c r="I20" s="24">
        <v>6</v>
      </c>
      <c r="J20" s="24">
        <v>5</v>
      </c>
      <c r="K20" s="24">
        <v>6</v>
      </c>
      <c r="L20" s="25">
        <f>IF(COUNT(C20:K20)=0,"",SUM(C20:K20))</f>
        <v>46</v>
      </c>
      <c r="M20" s="24">
        <v>1</v>
      </c>
      <c r="N20" s="24">
        <v>4</v>
      </c>
      <c r="O20" s="24">
        <v>6</v>
      </c>
      <c r="P20" s="24">
        <v>5</v>
      </c>
      <c r="Q20" s="24">
        <v>5</v>
      </c>
      <c r="R20" s="24">
        <v>4</v>
      </c>
      <c r="S20" s="24">
        <v>6</v>
      </c>
      <c r="T20" s="24">
        <v>7</v>
      </c>
      <c r="U20" s="24">
        <v>6</v>
      </c>
      <c r="V20" s="25">
        <f>IF(COUNT(M20:U20)=0,"",SUM(M20:U20))</f>
        <v>44</v>
      </c>
      <c r="W20" s="25">
        <f>IF(AND(L20="",V20=""),"",SUM(L20,V20))</f>
        <v>90</v>
      </c>
    </row>
    <row r="21" spans="1:23" ht="15" customHeight="1" x14ac:dyDescent="0.2">
      <c r="A21" s="26" t="s">
        <v>89</v>
      </c>
      <c r="B21" s="23"/>
      <c r="C21" s="25">
        <f t="shared" ref="C21:K21" si="20">IF($B20="","",FLOOR($B20/18,1)+IF(MOD($B20,18)&gt;=C$4,1,0))</f>
        <v>1</v>
      </c>
      <c r="D21" s="25">
        <f t="shared" si="20"/>
        <v>1</v>
      </c>
      <c r="E21" s="25">
        <f t="shared" si="20"/>
        <v>1</v>
      </c>
      <c r="F21" s="25">
        <f t="shared" si="20"/>
        <v>1</v>
      </c>
      <c r="G21" s="25">
        <f t="shared" si="20"/>
        <v>1</v>
      </c>
      <c r="H21" s="25">
        <f t="shared" si="20"/>
        <v>1</v>
      </c>
      <c r="I21" s="25">
        <f t="shared" si="20"/>
        <v>1</v>
      </c>
      <c r="J21" s="25">
        <f t="shared" si="20"/>
        <v>1</v>
      </c>
      <c r="K21" s="25">
        <f t="shared" si="20"/>
        <v>1</v>
      </c>
      <c r="L21" s="25">
        <f>IF(COUNT(C21:K21)=0,"",SUM(C21:K21))</f>
        <v>9</v>
      </c>
      <c r="M21" s="25">
        <f t="shared" ref="M21:U21" si="21">IF($B20="","",FLOOR($B20/18,1)+IF(MOD($B20,18)&gt;=M$4,1,0))</f>
        <v>1</v>
      </c>
      <c r="N21" s="25">
        <f t="shared" si="21"/>
        <v>1</v>
      </c>
      <c r="O21" s="25">
        <f t="shared" si="21"/>
        <v>1</v>
      </c>
      <c r="P21" s="25">
        <f t="shared" si="21"/>
        <v>1</v>
      </c>
      <c r="Q21" s="25">
        <f t="shared" si="21"/>
        <v>1</v>
      </c>
      <c r="R21" s="25">
        <f t="shared" si="21"/>
        <v>1</v>
      </c>
      <c r="S21" s="25">
        <f t="shared" si="21"/>
        <v>1</v>
      </c>
      <c r="T21" s="25">
        <f t="shared" si="21"/>
        <v>1</v>
      </c>
      <c r="U21" s="25">
        <f t="shared" si="21"/>
        <v>1</v>
      </c>
      <c r="V21" s="25">
        <f>IF(COUNT(M21:U21)=0,"",SUM(M21:U21))</f>
        <v>9</v>
      </c>
      <c r="W21" s="25">
        <f>IF(AND(L21="",V21=""),"",SUM(L21,V21))</f>
        <v>18</v>
      </c>
    </row>
    <row r="22" spans="1:23" ht="15" customHeight="1" x14ac:dyDescent="0.2">
      <c r="A22" s="26" t="s">
        <v>90</v>
      </c>
      <c r="B22" s="23"/>
      <c r="C22" s="25">
        <f t="shared" ref="C22:K22" si="22">IF(C20="","",MAX(0,2-((C20-C21)-C$3)))</f>
        <v>2</v>
      </c>
      <c r="D22" s="25">
        <f t="shared" si="22"/>
        <v>1</v>
      </c>
      <c r="E22" s="25">
        <f t="shared" si="22"/>
        <v>2</v>
      </c>
      <c r="F22" s="25">
        <f t="shared" si="22"/>
        <v>2</v>
      </c>
      <c r="G22" s="25">
        <f t="shared" si="22"/>
        <v>2</v>
      </c>
      <c r="H22" s="25">
        <f t="shared" si="22"/>
        <v>3</v>
      </c>
      <c r="I22" s="25">
        <f t="shared" si="22"/>
        <v>1</v>
      </c>
      <c r="J22" s="25">
        <f t="shared" si="22"/>
        <v>1</v>
      </c>
      <c r="K22" s="25">
        <f t="shared" si="22"/>
        <v>2</v>
      </c>
      <c r="L22" s="25">
        <f>SUM(C22:K22)</f>
        <v>16</v>
      </c>
      <c r="M22" s="25">
        <f t="shared" ref="M22:U22" si="23">IF(M20="","",MAX(0,2-((M20-M21)-M$3)))</f>
        <v>5</v>
      </c>
      <c r="N22" s="25">
        <f t="shared" si="23"/>
        <v>3</v>
      </c>
      <c r="O22" s="25">
        <f t="shared" si="23"/>
        <v>1</v>
      </c>
      <c r="P22" s="25">
        <f t="shared" si="23"/>
        <v>2</v>
      </c>
      <c r="Q22" s="25">
        <f t="shared" si="23"/>
        <v>2</v>
      </c>
      <c r="R22" s="25">
        <f t="shared" si="23"/>
        <v>2</v>
      </c>
      <c r="S22" s="25">
        <f t="shared" si="23"/>
        <v>2</v>
      </c>
      <c r="T22" s="25">
        <f t="shared" si="23"/>
        <v>0</v>
      </c>
      <c r="U22" s="25">
        <f t="shared" si="23"/>
        <v>1</v>
      </c>
      <c r="V22" s="25">
        <f>SUM(M22:U22)</f>
        <v>18</v>
      </c>
      <c r="W22" s="25">
        <f>L22+V22</f>
        <v>34</v>
      </c>
    </row>
    <row r="23" spans="1:23" ht="15" customHeight="1" x14ac:dyDescent="0.2">
      <c r="A23" s="26" t="s">
        <v>91</v>
      </c>
      <c r="B23" s="27">
        <f>'Course Handicaps'!G10</f>
        <v>15</v>
      </c>
      <c r="C23" s="24">
        <v>6</v>
      </c>
      <c r="D23" s="24">
        <v>6</v>
      </c>
      <c r="E23" s="24">
        <v>6</v>
      </c>
      <c r="F23" s="24">
        <v>4</v>
      </c>
      <c r="G23" s="24">
        <v>4</v>
      </c>
      <c r="H23" s="24">
        <v>4</v>
      </c>
      <c r="I23" s="24">
        <v>5</v>
      </c>
      <c r="J23" s="24">
        <v>4</v>
      </c>
      <c r="K23" s="24">
        <v>5</v>
      </c>
      <c r="L23" s="25">
        <f>IF(COUNT(C23:K23)=0,"",SUM(C23:K23))</f>
        <v>44</v>
      </c>
      <c r="M23" s="24">
        <v>4</v>
      </c>
      <c r="N23" s="24">
        <v>5</v>
      </c>
      <c r="O23" s="24">
        <v>4</v>
      </c>
      <c r="P23" s="24">
        <v>5</v>
      </c>
      <c r="Q23" s="24">
        <v>4</v>
      </c>
      <c r="R23" s="24">
        <v>4</v>
      </c>
      <c r="S23" s="24">
        <v>7</v>
      </c>
      <c r="T23" s="24">
        <v>5</v>
      </c>
      <c r="U23" s="24">
        <v>4</v>
      </c>
      <c r="V23" s="25">
        <f>IF(COUNT(M23:U23)=0,"",SUM(M23:U23))</f>
        <v>42</v>
      </c>
      <c r="W23" s="25">
        <f>IF(AND(L23="",V23=""),"",SUM(L23,V23))</f>
        <v>86</v>
      </c>
    </row>
    <row r="24" spans="1:23" ht="15" customHeight="1" x14ac:dyDescent="0.2">
      <c r="A24" s="26" t="s">
        <v>92</v>
      </c>
      <c r="B24" s="23"/>
      <c r="C24" s="25">
        <f t="shared" ref="C24:K24" si="24">IF($B23="","",FLOOR($B23/18,1)+IF(MOD($B23,18)&gt;=C$4,1,0))</f>
        <v>1</v>
      </c>
      <c r="D24" s="25">
        <f t="shared" si="24"/>
        <v>1</v>
      </c>
      <c r="E24" s="25">
        <f t="shared" si="24"/>
        <v>1</v>
      </c>
      <c r="F24" s="25">
        <f t="shared" si="24"/>
        <v>0</v>
      </c>
      <c r="G24" s="25">
        <f t="shared" si="24"/>
        <v>1</v>
      </c>
      <c r="H24" s="25">
        <f t="shared" si="24"/>
        <v>1</v>
      </c>
      <c r="I24" s="25">
        <f t="shared" si="24"/>
        <v>1</v>
      </c>
      <c r="J24" s="25">
        <f t="shared" si="24"/>
        <v>1</v>
      </c>
      <c r="K24" s="25">
        <f t="shared" si="24"/>
        <v>1</v>
      </c>
      <c r="L24" s="25">
        <f>IF(COUNT(C24:K24)=0,"",SUM(C24:K24))</f>
        <v>8</v>
      </c>
      <c r="M24" s="25">
        <f t="shared" ref="M24:U24" si="25">IF($B23="","",FLOOR($B23/18,1)+IF(MOD($B23,18)&gt;=M$4,1,0))</f>
        <v>1</v>
      </c>
      <c r="N24" s="25">
        <f t="shared" si="25"/>
        <v>1</v>
      </c>
      <c r="O24" s="25">
        <f t="shared" si="25"/>
        <v>0</v>
      </c>
      <c r="P24" s="25">
        <f t="shared" si="25"/>
        <v>1</v>
      </c>
      <c r="Q24" s="25">
        <f t="shared" si="25"/>
        <v>1</v>
      </c>
      <c r="R24" s="25">
        <f t="shared" si="25"/>
        <v>0</v>
      </c>
      <c r="S24" s="25">
        <f t="shared" si="25"/>
        <v>1</v>
      </c>
      <c r="T24" s="25">
        <f t="shared" si="25"/>
        <v>1</v>
      </c>
      <c r="U24" s="25">
        <f t="shared" si="25"/>
        <v>1</v>
      </c>
      <c r="V24" s="25">
        <f>IF(COUNT(M24:U24)=0,"",SUM(M24:U24))</f>
        <v>7</v>
      </c>
      <c r="W24" s="25">
        <f>IF(AND(L24="",V24=""),"",SUM(L24,V24))</f>
        <v>15</v>
      </c>
    </row>
    <row r="25" spans="1:23" ht="15" customHeight="1" x14ac:dyDescent="0.2">
      <c r="A25" s="26" t="s">
        <v>93</v>
      </c>
      <c r="B25" s="23"/>
      <c r="C25" s="25">
        <f t="shared" ref="C25:K25" si="26">IF(C23="","",MAX(0,2-((C23-C24)-C$3)))</f>
        <v>1</v>
      </c>
      <c r="D25" s="25">
        <f t="shared" si="26"/>
        <v>1</v>
      </c>
      <c r="E25" s="25">
        <f t="shared" si="26"/>
        <v>1</v>
      </c>
      <c r="F25" s="25">
        <f t="shared" si="26"/>
        <v>2</v>
      </c>
      <c r="G25" s="25">
        <f t="shared" si="26"/>
        <v>2</v>
      </c>
      <c r="H25" s="25">
        <f t="shared" si="26"/>
        <v>3</v>
      </c>
      <c r="I25" s="25">
        <f t="shared" si="26"/>
        <v>2</v>
      </c>
      <c r="J25" s="25">
        <f t="shared" si="26"/>
        <v>2</v>
      </c>
      <c r="K25" s="25">
        <f t="shared" si="26"/>
        <v>3</v>
      </c>
      <c r="L25" s="25">
        <f>SUM(C25:K25)</f>
        <v>17</v>
      </c>
      <c r="M25" s="25">
        <f t="shared" ref="M25:U25" si="27">IF(M23="","",MAX(0,2-((M23-M24)-M$3)))</f>
        <v>2</v>
      </c>
      <c r="N25" s="25">
        <f t="shared" si="27"/>
        <v>2</v>
      </c>
      <c r="O25" s="25">
        <f t="shared" si="27"/>
        <v>2</v>
      </c>
      <c r="P25" s="25">
        <f t="shared" si="27"/>
        <v>2</v>
      </c>
      <c r="Q25" s="25">
        <f t="shared" si="27"/>
        <v>3</v>
      </c>
      <c r="R25" s="25">
        <f t="shared" si="27"/>
        <v>1</v>
      </c>
      <c r="S25" s="25">
        <f t="shared" si="27"/>
        <v>1</v>
      </c>
      <c r="T25" s="25">
        <f t="shared" si="27"/>
        <v>2</v>
      </c>
      <c r="U25" s="25">
        <f t="shared" si="27"/>
        <v>3</v>
      </c>
      <c r="V25" s="25">
        <f>SUM(M25:U25)</f>
        <v>18</v>
      </c>
      <c r="W25" s="25">
        <f>L25+V25</f>
        <v>35</v>
      </c>
    </row>
    <row r="26" spans="1:23" ht="15" customHeight="1" x14ac:dyDescent="0.2">
      <c r="A26" s="26" t="s">
        <v>94</v>
      </c>
      <c r="B26" s="27">
        <f>'Course Handicaps'!G11</f>
        <v>26</v>
      </c>
      <c r="C26" s="24">
        <v>7</v>
      </c>
      <c r="D26" s="24">
        <v>5</v>
      </c>
      <c r="E26" s="24">
        <v>5</v>
      </c>
      <c r="F26" s="24">
        <v>5</v>
      </c>
      <c r="G26" s="24">
        <v>4</v>
      </c>
      <c r="H26" s="24">
        <v>6</v>
      </c>
      <c r="I26" s="24">
        <v>7</v>
      </c>
      <c r="J26" s="24">
        <v>3</v>
      </c>
      <c r="K26" s="24">
        <v>6</v>
      </c>
      <c r="L26" s="25">
        <f>IF(COUNT(C26:K26)=0,"",SUM(C26:K26))</f>
        <v>48</v>
      </c>
      <c r="M26" s="24">
        <v>3</v>
      </c>
      <c r="N26" s="24">
        <v>5</v>
      </c>
      <c r="O26" s="24">
        <v>5</v>
      </c>
      <c r="P26" s="24">
        <v>7</v>
      </c>
      <c r="Q26" s="24">
        <v>6</v>
      </c>
      <c r="R26" s="24">
        <v>4</v>
      </c>
      <c r="S26" s="24">
        <v>6</v>
      </c>
      <c r="T26" s="24">
        <v>7</v>
      </c>
      <c r="U26" s="24">
        <v>5</v>
      </c>
      <c r="V26" s="25">
        <f>IF(COUNT(M26:U26)=0,"",SUM(M26:U26))</f>
        <v>48</v>
      </c>
      <c r="W26" s="25">
        <f>IF(AND(L26="",V26=""),"",SUM(L26,V26))</f>
        <v>96</v>
      </c>
    </row>
    <row r="27" spans="1:23" ht="15" customHeight="1" x14ac:dyDescent="0.2">
      <c r="A27" s="26" t="s">
        <v>95</v>
      </c>
      <c r="B27" s="23"/>
      <c r="C27" s="25">
        <f t="shared" ref="C27:K27" si="28">IF($B26="","",FLOOR($B26/18,1)+IF(MOD($B26,18)&gt;=C$4,1,0))</f>
        <v>1</v>
      </c>
      <c r="D27" s="25">
        <f t="shared" si="28"/>
        <v>2</v>
      </c>
      <c r="E27" s="25">
        <f t="shared" si="28"/>
        <v>2</v>
      </c>
      <c r="F27" s="25">
        <f t="shared" si="28"/>
        <v>1</v>
      </c>
      <c r="G27" s="25">
        <f t="shared" si="28"/>
        <v>1</v>
      </c>
      <c r="H27" s="25">
        <f t="shared" si="28"/>
        <v>2</v>
      </c>
      <c r="I27" s="25">
        <f t="shared" si="28"/>
        <v>1</v>
      </c>
      <c r="J27" s="25">
        <f t="shared" si="28"/>
        <v>1</v>
      </c>
      <c r="K27" s="25">
        <f t="shared" si="28"/>
        <v>2</v>
      </c>
      <c r="L27" s="25">
        <f>IF(COUNT(C27:K27)=0,"",SUM(C27:K27))</f>
        <v>13</v>
      </c>
      <c r="M27" s="25">
        <f t="shared" ref="M27:U27" si="29">IF($B26="","",FLOOR($B26/18,1)+IF(MOD($B26,18)&gt;=M$4,1,0))</f>
        <v>1</v>
      </c>
      <c r="N27" s="25">
        <f t="shared" si="29"/>
        <v>2</v>
      </c>
      <c r="O27" s="25">
        <f t="shared" si="29"/>
        <v>1</v>
      </c>
      <c r="P27" s="25">
        <f t="shared" si="29"/>
        <v>2</v>
      </c>
      <c r="Q27" s="25">
        <f t="shared" si="29"/>
        <v>1</v>
      </c>
      <c r="R27" s="25">
        <f t="shared" si="29"/>
        <v>1</v>
      </c>
      <c r="S27" s="25">
        <f t="shared" si="29"/>
        <v>2</v>
      </c>
      <c r="T27" s="25">
        <f t="shared" si="29"/>
        <v>2</v>
      </c>
      <c r="U27" s="25">
        <f t="shared" si="29"/>
        <v>1</v>
      </c>
      <c r="V27" s="25">
        <f>IF(COUNT(M27:U27)=0,"",SUM(M27:U27))</f>
        <v>13</v>
      </c>
      <c r="W27" s="25">
        <f>IF(AND(L27="",V27=""),"",SUM(L27,V27))</f>
        <v>26</v>
      </c>
    </row>
    <row r="28" spans="1:23" ht="15" customHeight="1" x14ac:dyDescent="0.2">
      <c r="A28" s="26" t="s">
        <v>96</v>
      </c>
      <c r="B28" s="23"/>
      <c r="C28" s="25">
        <f t="shared" ref="C28:K28" si="30">IF(C26="","",MAX(0,2-((C26-C27)-C$3)))</f>
        <v>0</v>
      </c>
      <c r="D28" s="25">
        <f t="shared" si="30"/>
        <v>3</v>
      </c>
      <c r="E28" s="25">
        <f t="shared" si="30"/>
        <v>3</v>
      </c>
      <c r="F28" s="25">
        <f t="shared" si="30"/>
        <v>2</v>
      </c>
      <c r="G28" s="25">
        <f t="shared" si="30"/>
        <v>2</v>
      </c>
      <c r="H28" s="25">
        <f t="shared" si="30"/>
        <v>2</v>
      </c>
      <c r="I28" s="25">
        <f t="shared" si="30"/>
        <v>0</v>
      </c>
      <c r="J28" s="25">
        <f t="shared" si="30"/>
        <v>3</v>
      </c>
      <c r="K28" s="25">
        <f t="shared" si="30"/>
        <v>3</v>
      </c>
      <c r="L28" s="25">
        <f>SUM(C28:K28)</f>
        <v>18</v>
      </c>
      <c r="M28" s="25">
        <f t="shared" ref="M28:U28" si="31">IF(M26="","",MAX(0,2-((M26-M27)-M$3)))</f>
        <v>3</v>
      </c>
      <c r="N28" s="25">
        <f t="shared" si="31"/>
        <v>3</v>
      </c>
      <c r="O28" s="25">
        <f t="shared" si="31"/>
        <v>2</v>
      </c>
      <c r="P28" s="25">
        <f t="shared" si="31"/>
        <v>1</v>
      </c>
      <c r="Q28" s="25">
        <f t="shared" si="31"/>
        <v>1</v>
      </c>
      <c r="R28" s="25">
        <f t="shared" si="31"/>
        <v>2</v>
      </c>
      <c r="S28" s="25">
        <f t="shared" si="31"/>
        <v>3</v>
      </c>
      <c r="T28" s="25">
        <f t="shared" si="31"/>
        <v>1</v>
      </c>
      <c r="U28" s="25">
        <f t="shared" si="31"/>
        <v>2</v>
      </c>
      <c r="V28" s="25">
        <f>SUM(M28:U28)</f>
        <v>18</v>
      </c>
      <c r="W28" s="25">
        <f>L28+V28</f>
        <v>36</v>
      </c>
    </row>
    <row r="29" spans="1:23" ht="15" customHeight="1" x14ac:dyDescent="0.2">
      <c r="A29" s="23"/>
      <c r="B29" s="23"/>
      <c r="C29" s="23"/>
      <c r="D29" s="23"/>
      <c r="E29" s="23"/>
      <c r="F29" s="23"/>
      <c r="G29" s="23"/>
      <c r="H29" s="23"/>
      <c r="I29" s="23"/>
      <c r="J29" s="23"/>
      <c r="K29" s="23"/>
      <c r="L29" s="23"/>
      <c r="M29" s="23"/>
      <c r="N29" s="23"/>
      <c r="O29" s="23"/>
      <c r="P29" s="23"/>
      <c r="Q29" s="23"/>
      <c r="R29" s="23"/>
      <c r="S29" s="23"/>
      <c r="T29" s="23"/>
      <c r="U29" s="23"/>
      <c r="V29" s="23"/>
      <c r="W29" s="23"/>
    </row>
    <row r="30" spans="1:23" ht="15" customHeight="1" x14ac:dyDescent="0.2">
      <c r="A30" s="1" t="s">
        <v>97</v>
      </c>
      <c r="B30" s="1"/>
      <c r="C30" s="1"/>
      <c r="D30" s="1"/>
      <c r="E30" s="1"/>
      <c r="F30" s="1"/>
      <c r="G30" s="1"/>
      <c r="H30" s="1"/>
      <c r="I30" s="1"/>
      <c r="J30" s="1"/>
      <c r="K30" s="1"/>
      <c r="L30" s="1"/>
      <c r="M30" s="1"/>
      <c r="N30" s="1"/>
      <c r="O30" s="1"/>
      <c r="P30" s="1"/>
      <c r="Q30" s="1"/>
      <c r="R30" s="1"/>
      <c r="S30" s="1"/>
      <c r="T30" s="1"/>
      <c r="U30" s="1"/>
      <c r="V30" s="1"/>
      <c r="W30" s="1"/>
    </row>
  </sheetData>
  <mergeCells count="2">
    <mergeCell ref="A1:W1"/>
    <mergeCell ref="A30:W3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0"/>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baseColWidth="10" defaultColWidth="8.6640625" defaultRowHeight="15" x14ac:dyDescent="0.2"/>
  <cols>
    <col min="1" max="1" width="20" customWidth="1"/>
    <col min="2" max="2" width="7" customWidth="1"/>
    <col min="3" max="20" width="6.5" customWidth="1"/>
    <col min="21" max="21" width="7" customWidth="1"/>
    <col min="23" max="23" width="8" customWidth="1"/>
  </cols>
  <sheetData>
    <row r="1" spans="1:23" ht="24" customHeight="1" x14ac:dyDescent="0.2">
      <c r="A1" s="2" t="s">
        <v>98</v>
      </c>
      <c r="B1" s="2"/>
      <c r="C1" s="2"/>
      <c r="D1" s="2"/>
      <c r="E1" s="2"/>
      <c r="F1" s="2"/>
      <c r="G1" s="2"/>
      <c r="H1" s="2"/>
      <c r="I1" s="2"/>
      <c r="J1" s="2"/>
      <c r="K1" s="2"/>
      <c r="L1" s="2"/>
      <c r="M1" s="2"/>
      <c r="N1" s="2"/>
      <c r="O1" s="2"/>
      <c r="P1" s="2"/>
      <c r="Q1" s="2"/>
      <c r="R1" s="2"/>
      <c r="S1" s="2"/>
      <c r="T1" s="2"/>
      <c r="U1" s="2"/>
      <c r="V1" s="2"/>
      <c r="W1" s="2"/>
    </row>
    <row r="2" spans="1:23" ht="15" customHeight="1" x14ac:dyDescent="0.2">
      <c r="A2" s="14" t="s">
        <v>66</v>
      </c>
      <c r="B2" s="14" t="s">
        <v>67</v>
      </c>
      <c r="C2" s="14">
        <v>1</v>
      </c>
      <c r="D2" s="14">
        <v>2</v>
      </c>
      <c r="E2" s="14">
        <v>3</v>
      </c>
      <c r="F2" s="14">
        <v>4</v>
      </c>
      <c r="G2" s="14">
        <v>5</v>
      </c>
      <c r="H2" s="14">
        <v>6</v>
      </c>
      <c r="I2" s="14">
        <v>7</v>
      </c>
      <c r="J2" s="14">
        <v>8</v>
      </c>
      <c r="K2" s="14">
        <v>9</v>
      </c>
      <c r="L2" s="14" t="s">
        <v>68</v>
      </c>
      <c r="M2" s="14">
        <v>10</v>
      </c>
      <c r="N2" s="14">
        <v>11</v>
      </c>
      <c r="O2" s="14">
        <v>12</v>
      </c>
      <c r="P2" s="14">
        <v>13</v>
      </c>
      <c r="Q2" s="14">
        <v>14</v>
      </c>
      <c r="R2" s="14">
        <v>15</v>
      </c>
      <c r="S2" s="14">
        <v>16</v>
      </c>
      <c r="T2" s="14">
        <v>17</v>
      </c>
      <c r="U2" s="14">
        <v>18</v>
      </c>
      <c r="V2" s="14" t="s">
        <v>69</v>
      </c>
      <c r="W2" s="14" t="s">
        <v>70</v>
      </c>
    </row>
    <row r="3" spans="1:23" ht="15" customHeight="1" x14ac:dyDescent="0.2">
      <c r="A3" s="22" t="s">
        <v>71</v>
      </c>
      <c r="B3" s="23"/>
      <c r="C3" s="24"/>
      <c r="D3" s="24"/>
      <c r="E3" s="24"/>
      <c r="F3" s="24"/>
      <c r="G3" s="24"/>
      <c r="H3" s="24"/>
      <c r="I3" s="24"/>
      <c r="J3" s="24"/>
      <c r="K3" s="24"/>
      <c r="L3" s="25">
        <f>SUM(C3:K3)</f>
        <v>0</v>
      </c>
      <c r="M3" s="24"/>
      <c r="N3" s="24"/>
      <c r="O3" s="24"/>
      <c r="P3" s="24"/>
      <c r="Q3" s="24"/>
      <c r="R3" s="24"/>
      <c r="S3" s="24"/>
      <c r="T3" s="24"/>
      <c r="U3" s="24"/>
      <c r="V3" s="25">
        <f>SUM(M3:U3)</f>
        <v>0</v>
      </c>
      <c r="W3" s="25">
        <f>L3+V3</f>
        <v>0</v>
      </c>
    </row>
    <row r="4" spans="1:23" ht="15" customHeight="1" x14ac:dyDescent="0.2">
      <c r="A4" s="22" t="s">
        <v>72</v>
      </c>
      <c r="B4" s="23"/>
      <c r="C4" s="24"/>
      <c r="D4" s="24"/>
      <c r="E4" s="24"/>
      <c r="F4" s="24"/>
      <c r="G4" s="24"/>
      <c r="H4" s="24"/>
      <c r="I4" s="24"/>
      <c r="J4" s="24"/>
      <c r="K4" s="24"/>
      <c r="L4" s="23"/>
      <c r="M4" s="24"/>
      <c r="N4" s="24"/>
      <c r="O4" s="24"/>
      <c r="P4" s="24"/>
      <c r="Q4" s="24"/>
      <c r="R4" s="24"/>
      <c r="S4" s="24"/>
      <c r="T4" s="24"/>
      <c r="U4" s="24"/>
      <c r="V4" s="23"/>
      <c r="W4" s="23"/>
    </row>
    <row r="5" spans="1:23" ht="15" customHeight="1" x14ac:dyDescent="0.2">
      <c r="A5" s="26" t="s">
        <v>73</v>
      </c>
      <c r="B5" s="27">
        <f>'Course Handicaps'!F4</f>
        <v>19</v>
      </c>
      <c r="C5" s="24"/>
      <c r="D5" s="24"/>
      <c r="E5" s="24"/>
      <c r="F5" s="24"/>
      <c r="G5" s="24"/>
      <c r="H5" s="24"/>
      <c r="I5" s="24"/>
      <c r="J5" s="24"/>
      <c r="K5" s="24"/>
      <c r="L5" s="25" t="str">
        <f>IF(COUNT(C5:K5)=0,"",SUM(C5:K5))</f>
        <v/>
      </c>
      <c r="M5" s="24"/>
      <c r="N5" s="24"/>
      <c r="O5" s="24"/>
      <c r="P5" s="24"/>
      <c r="Q5" s="24"/>
      <c r="R5" s="24"/>
      <c r="S5" s="24"/>
      <c r="T5" s="24"/>
      <c r="U5" s="24"/>
      <c r="V5" s="25" t="str">
        <f>IF(COUNT(M5:U5)=0,"",SUM(M5:U5))</f>
        <v/>
      </c>
      <c r="W5" s="25" t="str">
        <f>IF(AND(L5="",V5=""),"",SUM(L5,V5))</f>
        <v/>
      </c>
    </row>
    <row r="6" spans="1:23" ht="15" customHeight="1" x14ac:dyDescent="0.2">
      <c r="A6" s="26" t="s">
        <v>74</v>
      </c>
      <c r="B6" s="23"/>
      <c r="C6" s="25">
        <f t="shared" ref="C6:K6" si="0">IF($B5="","",FLOOR($B5/18,1)+IF(MOD($B5,18)&gt;=C$4,1,0))</f>
        <v>2</v>
      </c>
      <c r="D6" s="25">
        <f t="shared" si="0"/>
        <v>2</v>
      </c>
      <c r="E6" s="25">
        <f t="shared" si="0"/>
        <v>2</v>
      </c>
      <c r="F6" s="25">
        <f t="shared" si="0"/>
        <v>2</v>
      </c>
      <c r="G6" s="25">
        <f t="shared" si="0"/>
        <v>2</v>
      </c>
      <c r="H6" s="25">
        <f t="shared" si="0"/>
        <v>2</v>
      </c>
      <c r="I6" s="25">
        <f t="shared" si="0"/>
        <v>2</v>
      </c>
      <c r="J6" s="25">
        <f t="shared" si="0"/>
        <v>2</v>
      </c>
      <c r="K6" s="25">
        <f t="shared" si="0"/>
        <v>2</v>
      </c>
      <c r="L6" s="25">
        <f>IF(COUNT(C6:K6)=0,"",SUM(C6:K6))</f>
        <v>18</v>
      </c>
      <c r="M6" s="25">
        <f t="shared" ref="M6:U6" si="1">IF($B5="","",FLOOR($B5/18,1)+IF(MOD($B5,18)&gt;=M$4,1,0))</f>
        <v>2</v>
      </c>
      <c r="N6" s="25">
        <f t="shared" si="1"/>
        <v>2</v>
      </c>
      <c r="O6" s="25">
        <f t="shared" si="1"/>
        <v>2</v>
      </c>
      <c r="P6" s="25">
        <f t="shared" si="1"/>
        <v>2</v>
      </c>
      <c r="Q6" s="25">
        <f t="shared" si="1"/>
        <v>2</v>
      </c>
      <c r="R6" s="25">
        <f t="shared" si="1"/>
        <v>2</v>
      </c>
      <c r="S6" s="25">
        <f t="shared" si="1"/>
        <v>2</v>
      </c>
      <c r="T6" s="25">
        <f t="shared" si="1"/>
        <v>2</v>
      </c>
      <c r="U6" s="25">
        <f t="shared" si="1"/>
        <v>2</v>
      </c>
      <c r="V6" s="25">
        <f>IF(COUNT(M6:U6)=0,"",SUM(M6:U6))</f>
        <v>18</v>
      </c>
      <c r="W6" s="25">
        <f>IF(AND(L6="",V6=""),"",SUM(L6,V6))</f>
        <v>36</v>
      </c>
    </row>
    <row r="7" spans="1:23" ht="15" customHeight="1" x14ac:dyDescent="0.2">
      <c r="A7" s="26" t="s">
        <v>75</v>
      </c>
      <c r="B7" s="23"/>
      <c r="C7" s="25" t="str">
        <f t="shared" ref="C7:K7" si="2">IF(C5="","",MAX(0,2-((C5-C6)-C$3)))</f>
        <v/>
      </c>
      <c r="D7" s="25" t="str">
        <f t="shared" si="2"/>
        <v/>
      </c>
      <c r="E7" s="25" t="str">
        <f t="shared" si="2"/>
        <v/>
      </c>
      <c r="F7" s="25" t="str">
        <f t="shared" si="2"/>
        <v/>
      </c>
      <c r="G7" s="25" t="str">
        <f t="shared" si="2"/>
        <v/>
      </c>
      <c r="H7" s="25" t="str">
        <f t="shared" si="2"/>
        <v/>
      </c>
      <c r="I7" s="25" t="str">
        <f t="shared" si="2"/>
        <v/>
      </c>
      <c r="J7" s="25" t="str">
        <f t="shared" si="2"/>
        <v/>
      </c>
      <c r="K7" s="25" t="str">
        <f t="shared" si="2"/>
        <v/>
      </c>
      <c r="L7" s="25">
        <f>SUM(C7:K7)</f>
        <v>0</v>
      </c>
      <c r="M7" s="25" t="str">
        <f t="shared" ref="M7:U7" si="3">IF(M5="","",MAX(0,2-((M5-M6)-M$3)))</f>
        <v/>
      </c>
      <c r="N7" s="25" t="str">
        <f t="shared" si="3"/>
        <v/>
      </c>
      <c r="O7" s="25" t="str">
        <f t="shared" si="3"/>
        <v/>
      </c>
      <c r="P7" s="25" t="str">
        <f t="shared" si="3"/>
        <v/>
      </c>
      <c r="Q7" s="25" t="str">
        <f t="shared" si="3"/>
        <v/>
      </c>
      <c r="R7" s="25" t="str">
        <f t="shared" si="3"/>
        <v/>
      </c>
      <c r="S7" s="25" t="str">
        <f t="shared" si="3"/>
        <v/>
      </c>
      <c r="T7" s="25" t="str">
        <f t="shared" si="3"/>
        <v/>
      </c>
      <c r="U7" s="25" t="str">
        <f t="shared" si="3"/>
        <v/>
      </c>
      <c r="V7" s="25">
        <f>SUM(M7:U7)</f>
        <v>0</v>
      </c>
      <c r="W7" s="25">
        <f>L7+V7</f>
        <v>0</v>
      </c>
    </row>
    <row r="8" spans="1:23" ht="15" customHeight="1" x14ac:dyDescent="0.2">
      <c r="A8" s="26" t="s">
        <v>76</v>
      </c>
      <c r="B8" s="27">
        <f>'Course Handicaps'!F5</f>
        <v>18</v>
      </c>
      <c r="C8" s="24"/>
      <c r="D8" s="24"/>
      <c r="E8" s="24"/>
      <c r="F8" s="24"/>
      <c r="G8" s="24"/>
      <c r="H8" s="24"/>
      <c r="I8" s="24"/>
      <c r="J8" s="24"/>
      <c r="K8" s="24"/>
      <c r="L8" s="25" t="str">
        <f>IF(COUNT(C8:K8)=0,"",SUM(C8:K8))</f>
        <v/>
      </c>
      <c r="M8" s="24"/>
      <c r="N8" s="24"/>
      <c r="O8" s="24"/>
      <c r="P8" s="24"/>
      <c r="Q8" s="24"/>
      <c r="R8" s="24"/>
      <c r="S8" s="24"/>
      <c r="T8" s="24"/>
      <c r="U8" s="24"/>
      <c r="V8" s="25" t="str">
        <f>IF(COUNT(M8:U8)=0,"",SUM(M8:U8))</f>
        <v/>
      </c>
      <c r="W8" s="25" t="str">
        <f>IF(AND(L8="",V8=""),"",SUM(L8,V8))</f>
        <v/>
      </c>
    </row>
    <row r="9" spans="1:23" ht="15" customHeight="1" x14ac:dyDescent="0.2">
      <c r="A9" s="26" t="s">
        <v>77</v>
      </c>
      <c r="B9" s="23"/>
      <c r="C9" s="25">
        <f t="shared" ref="C9:K9" si="4">IF($B8="","",FLOOR($B8/18,1)+IF(MOD($B8,18)&gt;=C$4,1,0))</f>
        <v>2</v>
      </c>
      <c r="D9" s="25">
        <f t="shared" si="4"/>
        <v>2</v>
      </c>
      <c r="E9" s="25">
        <f t="shared" si="4"/>
        <v>2</v>
      </c>
      <c r="F9" s="25">
        <f t="shared" si="4"/>
        <v>2</v>
      </c>
      <c r="G9" s="25">
        <f t="shared" si="4"/>
        <v>2</v>
      </c>
      <c r="H9" s="25">
        <f t="shared" si="4"/>
        <v>2</v>
      </c>
      <c r="I9" s="25">
        <f t="shared" si="4"/>
        <v>2</v>
      </c>
      <c r="J9" s="25">
        <f t="shared" si="4"/>
        <v>2</v>
      </c>
      <c r="K9" s="25">
        <f t="shared" si="4"/>
        <v>2</v>
      </c>
      <c r="L9" s="25">
        <f>IF(COUNT(C9:K9)=0,"",SUM(C9:K9))</f>
        <v>18</v>
      </c>
      <c r="M9" s="25">
        <f t="shared" ref="M9:U9" si="5">IF($B8="","",FLOOR($B8/18,1)+IF(MOD($B8,18)&gt;=M$4,1,0))</f>
        <v>2</v>
      </c>
      <c r="N9" s="25">
        <f t="shared" si="5"/>
        <v>2</v>
      </c>
      <c r="O9" s="25">
        <f t="shared" si="5"/>
        <v>2</v>
      </c>
      <c r="P9" s="25">
        <f t="shared" si="5"/>
        <v>2</v>
      </c>
      <c r="Q9" s="25">
        <f t="shared" si="5"/>
        <v>2</v>
      </c>
      <c r="R9" s="25">
        <f t="shared" si="5"/>
        <v>2</v>
      </c>
      <c r="S9" s="25">
        <f t="shared" si="5"/>
        <v>2</v>
      </c>
      <c r="T9" s="25">
        <f t="shared" si="5"/>
        <v>2</v>
      </c>
      <c r="U9" s="25">
        <f t="shared" si="5"/>
        <v>2</v>
      </c>
      <c r="V9" s="25">
        <f>IF(COUNT(M9:U9)=0,"",SUM(M9:U9))</f>
        <v>18</v>
      </c>
      <c r="W9" s="25">
        <f>IF(AND(L9="",V9=""),"",SUM(L9,V9))</f>
        <v>36</v>
      </c>
    </row>
    <row r="10" spans="1:23" ht="15" customHeight="1" x14ac:dyDescent="0.2">
      <c r="A10" s="26" t="s">
        <v>78</v>
      </c>
      <c r="B10" s="23"/>
      <c r="C10" s="25" t="str">
        <f t="shared" ref="C10:K10" si="6">IF(C8="","",MAX(0,2-((C8-C9)-C$3)))</f>
        <v/>
      </c>
      <c r="D10" s="25" t="str">
        <f t="shared" si="6"/>
        <v/>
      </c>
      <c r="E10" s="25" t="str">
        <f t="shared" si="6"/>
        <v/>
      </c>
      <c r="F10" s="25" t="str">
        <f t="shared" si="6"/>
        <v/>
      </c>
      <c r="G10" s="25" t="str">
        <f t="shared" si="6"/>
        <v/>
      </c>
      <c r="H10" s="25" t="str">
        <f t="shared" si="6"/>
        <v/>
      </c>
      <c r="I10" s="25" t="str">
        <f t="shared" si="6"/>
        <v/>
      </c>
      <c r="J10" s="25" t="str">
        <f t="shared" si="6"/>
        <v/>
      </c>
      <c r="K10" s="25" t="str">
        <f t="shared" si="6"/>
        <v/>
      </c>
      <c r="L10" s="25">
        <f>SUM(C10:K10)</f>
        <v>0</v>
      </c>
      <c r="M10" s="25" t="str">
        <f t="shared" ref="M10:U10" si="7">IF(M8="","",MAX(0,2-((M8-M9)-M$3)))</f>
        <v/>
      </c>
      <c r="N10" s="25" t="str">
        <f t="shared" si="7"/>
        <v/>
      </c>
      <c r="O10" s="25" t="str">
        <f t="shared" si="7"/>
        <v/>
      </c>
      <c r="P10" s="25" t="str">
        <f t="shared" si="7"/>
        <v/>
      </c>
      <c r="Q10" s="25" t="str">
        <f t="shared" si="7"/>
        <v/>
      </c>
      <c r="R10" s="25" t="str">
        <f t="shared" si="7"/>
        <v/>
      </c>
      <c r="S10" s="25" t="str">
        <f t="shared" si="7"/>
        <v/>
      </c>
      <c r="T10" s="25" t="str">
        <f t="shared" si="7"/>
        <v/>
      </c>
      <c r="U10" s="25" t="str">
        <f t="shared" si="7"/>
        <v/>
      </c>
      <c r="V10" s="25">
        <f>SUM(M10:U10)</f>
        <v>0</v>
      </c>
      <c r="W10" s="25">
        <f>L10+V10</f>
        <v>0</v>
      </c>
    </row>
    <row r="11" spans="1:23" ht="15" customHeight="1" x14ac:dyDescent="0.2">
      <c r="A11" s="26" t="s">
        <v>79</v>
      </c>
      <c r="B11" s="27">
        <f>'Course Handicaps'!F6</f>
        <v>13</v>
      </c>
      <c r="C11" s="24"/>
      <c r="D11" s="24"/>
      <c r="E11" s="24"/>
      <c r="F11" s="24"/>
      <c r="G11" s="24"/>
      <c r="H11" s="24"/>
      <c r="I11" s="24"/>
      <c r="J11" s="24"/>
      <c r="K11" s="24"/>
      <c r="L11" s="25" t="str">
        <f>IF(COUNT(C11:K11)=0,"",SUM(C11:K11))</f>
        <v/>
      </c>
      <c r="M11" s="24"/>
      <c r="N11" s="24"/>
      <c r="O11" s="24"/>
      <c r="P11" s="24"/>
      <c r="Q11" s="24"/>
      <c r="R11" s="24"/>
      <c r="S11" s="24"/>
      <c r="T11" s="24"/>
      <c r="U11" s="24"/>
      <c r="V11" s="25" t="str">
        <f>IF(COUNT(M11:U11)=0,"",SUM(M11:U11))</f>
        <v/>
      </c>
      <c r="W11" s="25" t="str">
        <f>IF(AND(L11="",V11=""),"",SUM(L11,V11))</f>
        <v/>
      </c>
    </row>
    <row r="12" spans="1:23" ht="15" customHeight="1" x14ac:dyDescent="0.2">
      <c r="A12" s="26" t="s">
        <v>80</v>
      </c>
      <c r="B12" s="23"/>
      <c r="C12" s="25">
        <f t="shared" ref="C12:K12" si="8">IF($B11="","",FLOOR($B11/18,1)+IF(MOD($B11,18)&gt;=C$4,1,0))</f>
        <v>1</v>
      </c>
      <c r="D12" s="25">
        <f t="shared" si="8"/>
        <v>1</v>
      </c>
      <c r="E12" s="25">
        <f t="shared" si="8"/>
        <v>1</v>
      </c>
      <c r="F12" s="25">
        <f t="shared" si="8"/>
        <v>1</v>
      </c>
      <c r="G12" s="25">
        <f t="shared" si="8"/>
        <v>1</v>
      </c>
      <c r="H12" s="25">
        <f t="shared" si="8"/>
        <v>1</v>
      </c>
      <c r="I12" s="25">
        <f t="shared" si="8"/>
        <v>1</v>
      </c>
      <c r="J12" s="25">
        <f t="shared" si="8"/>
        <v>1</v>
      </c>
      <c r="K12" s="25">
        <f t="shared" si="8"/>
        <v>1</v>
      </c>
      <c r="L12" s="25">
        <f>IF(COUNT(C12:K12)=0,"",SUM(C12:K12))</f>
        <v>9</v>
      </c>
      <c r="M12" s="25">
        <f t="shared" ref="M12:U12" si="9">IF($B11="","",FLOOR($B11/18,1)+IF(MOD($B11,18)&gt;=M$4,1,0))</f>
        <v>1</v>
      </c>
      <c r="N12" s="25">
        <f t="shared" si="9"/>
        <v>1</v>
      </c>
      <c r="O12" s="25">
        <f t="shared" si="9"/>
        <v>1</v>
      </c>
      <c r="P12" s="25">
        <f t="shared" si="9"/>
        <v>1</v>
      </c>
      <c r="Q12" s="25">
        <f t="shared" si="9"/>
        <v>1</v>
      </c>
      <c r="R12" s="25">
        <f t="shared" si="9"/>
        <v>1</v>
      </c>
      <c r="S12" s="25">
        <f t="shared" si="9"/>
        <v>1</v>
      </c>
      <c r="T12" s="25">
        <f t="shared" si="9"/>
        <v>1</v>
      </c>
      <c r="U12" s="25">
        <f t="shared" si="9"/>
        <v>1</v>
      </c>
      <c r="V12" s="25">
        <f>IF(COUNT(M12:U12)=0,"",SUM(M12:U12))</f>
        <v>9</v>
      </c>
      <c r="W12" s="25">
        <f>IF(AND(L12="",V12=""),"",SUM(L12,V12))</f>
        <v>18</v>
      </c>
    </row>
    <row r="13" spans="1:23" ht="15" customHeight="1" x14ac:dyDescent="0.2">
      <c r="A13" s="26" t="s">
        <v>81</v>
      </c>
      <c r="B13" s="23"/>
      <c r="C13" s="25" t="str">
        <f t="shared" ref="C13:K13" si="10">IF(C11="","",MAX(0,2-((C11-C12)-C$3)))</f>
        <v/>
      </c>
      <c r="D13" s="25" t="str">
        <f t="shared" si="10"/>
        <v/>
      </c>
      <c r="E13" s="25" t="str">
        <f t="shared" si="10"/>
        <v/>
      </c>
      <c r="F13" s="25" t="str">
        <f t="shared" si="10"/>
        <v/>
      </c>
      <c r="G13" s="25" t="str">
        <f t="shared" si="10"/>
        <v/>
      </c>
      <c r="H13" s="25" t="str">
        <f t="shared" si="10"/>
        <v/>
      </c>
      <c r="I13" s="25" t="str">
        <f t="shared" si="10"/>
        <v/>
      </c>
      <c r="J13" s="25" t="str">
        <f t="shared" si="10"/>
        <v/>
      </c>
      <c r="K13" s="25" t="str">
        <f t="shared" si="10"/>
        <v/>
      </c>
      <c r="L13" s="25">
        <f>SUM(C13:K13)</f>
        <v>0</v>
      </c>
      <c r="M13" s="25" t="str">
        <f t="shared" ref="M13:U13" si="11">IF(M11="","",MAX(0,2-((M11-M12)-M$3)))</f>
        <v/>
      </c>
      <c r="N13" s="25" t="str">
        <f t="shared" si="11"/>
        <v/>
      </c>
      <c r="O13" s="25" t="str">
        <f t="shared" si="11"/>
        <v/>
      </c>
      <c r="P13" s="25" t="str">
        <f t="shared" si="11"/>
        <v/>
      </c>
      <c r="Q13" s="25" t="str">
        <f t="shared" si="11"/>
        <v/>
      </c>
      <c r="R13" s="25" t="str">
        <f t="shared" si="11"/>
        <v/>
      </c>
      <c r="S13" s="25" t="str">
        <f t="shared" si="11"/>
        <v/>
      </c>
      <c r="T13" s="25" t="str">
        <f t="shared" si="11"/>
        <v/>
      </c>
      <c r="U13" s="25" t="str">
        <f t="shared" si="11"/>
        <v/>
      </c>
      <c r="V13" s="25">
        <f>SUM(M13:U13)</f>
        <v>0</v>
      </c>
      <c r="W13" s="25">
        <f>L13+V13</f>
        <v>0</v>
      </c>
    </row>
    <row r="14" spans="1:23" ht="15" customHeight="1" x14ac:dyDescent="0.2">
      <c r="A14" s="26" t="s">
        <v>82</v>
      </c>
      <c r="B14" s="27">
        <f>'Course Handicaps'!F7</f>
        <v>25</v>
      </c>
      <c r="C14" s="24"/>
      <c r="D14" s="24"/>
      <c r="E14" s="24"/>
      <c r="F14" s="24"/>
      <c r="G14" s="24"/>
      <c r="H14" s="24"/>
      <c r="I14" s="24"/>
      <c r="J14" s="24"/>
      <c r="K14" s="24"/>
      <c r="L14" s="25" t="str">
        <f>IF(COUNT(C14:K14)=0,"",SUM(C14:K14))</f>
        <v/>
      </c>
      <c r="M14" s="24"/>
      <c r="N14" s="24"/>
      <c r="O14" s="24"/>
      <c r="P14" s="24"/>
      <c r="Q14" s="24"/>
      <c r="R14" s="24"/>
      <c r="S14" s="24"/>
      <c r="T14" s="24"/>
      <c r="U14" s="24"/>
      <c r="V14" s="25" t="str">
        <f>IF(COUNT(M14:U14)=0,"",SUM(M14:U14))</f>
        <v/>
      </c>
      <c r="W14" s="25" t="str">
        <f>IF(AND(L14="",V14=""),"",SUM(L14,V14))</f>
        <v/>
      </c>
    </row>
    <row r="15" spans="1:23" ht="15" customHeight="1" x14ac:dyDescent="0.2">
      <c r="A15" s="26" t="s">
        <v>83</v>
      </c>
      <c r="B15" s="23"/>
      <c r="C15" s="25">
        <f t="shared" ref="C15:K15" si="12">IF($B14="","",FLOOR($B14/18,1)+IF(MOD($B14,18)&gt;=C$4,1,0))</f>
        <v>2</v>
      </c>
      <c r="D15" s="25">
        <f t="shared" si="12"/>
        <v>2</v>
      </c>
      <c r="E15" s="25">
        <f t="shared" si="12"/>
        <v>2</v>
      </c>
      <c r="F15" s="25">
        <f t="shared" si="12"/>
        <v>2</v>
      </c>
      <c r="G15" s="25">
        <f t="shared" si="12"/>
        <v>2</v>
      </c>
      <c r="H15" s="25">
        <f t="shared" si="12"/>
        <v>2</v>
      </c>
      <c r="I15" s="25">
        <f t="shared" si="12"/>
        <v>2</v>
      </c>
      <c r="J15" s="25">
        <f t="shared" si="12"/>
        <v>2</v>
      </c>
      <c r="K15" s="25">
        <f t="shared" si="12"/>
        <v>2</v>
      </c>
      <c r="L15" s="25">
        <f>IF(COUNT(C15:K15)=0,"",SUM(C15:K15))</f>
        <v>18</v>
      </c>
      <c r="M15" s="25">
        <f t="shared" ref="M15:U15" si="13">IF($B14="","",FLOOR($B14/18,1)+IF(MOD($B14,18)&gt;=M$4,1,0))</f>
        <v>2</v>
      </c>
      <c r="N15" s="25">
        <f t="shared" si="13"/>
        <v>2</v>
      </c>
      <c r="O15" s="25">
        <f t="shared" si="13"/>
        <v>2</v>
      </c>
      <c r="P15" s="25">
        <f t="shared" si="13"/>
        <v>2</v>
      </c>
      <c r="Q15" s="25">
        <f t="shared" si="13"/>
        <v>2</v>
      </c>
      <c r="R15" s="25">
        <f t="shared" si="13"/>
        <v>2</v>
      </c>
      <c r="S15" s="25">
        <f t="shared" si="13"/>
        <v>2</v>
      </c>
      <c r="T15" s="25">
        <f t="shared" si="13"/>
        <v>2</v>
      </c>
      <c r="U15" s="25">
        <f t="shared" si="13"/>
        <v>2</v>
      </c>
      <c r="V15" s="25">
        <f>IF(COUNT(M15:U15)=0,"",SUM(M15:U15))</f>
        <v>18</v>
      </c>
      <c r="W15" s="25">
        <f>IF(AND(L15="",V15=""),"",SUM(L15,V15))</f>
        <v>36</v>
      </c>
    </row>
    <row r="16" spans="1:23" ht="15" customHeight="1" x14ac:dyDescent="0.2">
      <c r="A16" s="26" t="s">
        <v>84</v>
      </c>
      <c r="B16" s="23"/>
      <c r="C16" s="25" t="str">
        <f t="shared" ref="C16:K16" si="14">IF(C14="","",MAX(0,2-((C14-C15)-C$3)))</f>
        <v/>
      </c>
      <c r="D16" s="25" t="str">
        <f t="shared" si="14"/>
        <v/>
      </c>
      <c r="E16" s="25" t="str">
        <f t="shared" si="14"/>
        <v/>
      </c>
      <c r="F16" s="25" t="str">
        <f t="shared" si="14"/>
        <v/>
      </c>
      <c r="G16" s="25" t="str">
        <f t="shared" si="14"/>
        <v/>
      </c>
      <c r="H16" s="25" t="str">
        <f t="shared" si="14"/>
        <v/>
      </c>
      <c r="I16" s="25" t="str">
        <f t="shared" si="14"/>
        <v/>
      </c>
      <c r="J16" s="25" t="str">
        <f t="shared" si="14"/>
        <v/>
      </c>
      <c r="K16" s="25" t="str">
        <f t="shared" si="14"/>
        <v/>
      </c>
      <c r="L16" s="25">
        <f>SUM(C16:K16)</f>
        <v>0</v>
      </c>
      <c r="M16" s="25" t="str">
        <f t="shared" ref="M16:U16" si="15">IF(M14="","",MAX(0,2-((M14-M15)-M$3)))</f>
        <v/>
      </c>
      <c r="N16" s="25" t="str">
        <f t="shared" si="15"/>
        <v/>
      </c>
      <c r="O16" s="25" t="str">
        <f t="shared" si="15"/>
        <v/>
      </c>
      <c r="P16" s="25" t="str">
        <f t="shared" si="15"/>
        <v/>
      </c>
      <c r="Q16" s="25" t="str">
        <f t="shared" si="15"/>
        <v/>
      </c>
      <c r="R16" s="25" t="str">
        <f t="shared" si="15"/>
        <v/>
      </c>
      <c r="S16" s="25" t="str">
        <f t="shared" si="15"/>
        <v/>
      </c>
      <c r="T16" s="25" t="str">
        <f t="shared" si="15"/>
        <v/>
      </c>
      <c r="U16" s="25" t="str">
        <f t="shared" si="15"/>
        <v/>
      </c>
      <c r="V16" s="25">
        <f>SUM(M16:U16)</f>
        <v>0</v>
      </c>
      <c r="W16" s="25">
        <f>L16+V16</f>
        <v>0</v>
      </c>
    </row>
    <row r="17" spans="1:23" ht="15" customHeight="1" x14ac:dyDescent="0.2">
      <c r="A17" s="26" t="s">
        <v>85</v>
      </c>
      <c r="B17" s="27">
        <f>'Course Handicaps'!F8</f>
        <v>29</v>
      </c>
      <c r="C17" s="24"/>
      <c r="D17" s="24"/>
      <c r="E17" s="24"/>
      <c r="F17" s="24"/>
      <c r="G17" s="24"/>
      <c r="H17" s="24"/>
      <c r="I17" s="24"/>
      <c r="J17" s="24"/>
      <c r="K17" s="24"/>
      <c r="L17" s="25" t="str">
        <f>IF(COUNT(C17:K17)=0,"",SUM(C17:K17))</f>
        <v/>
      </c>
      <c r="M17" s="24"/>
      <c r="N17" s="24"/>
      <c r="O17" s="24"/>
      <c r="P17" s="24"/>
      <c r="Q17" s="24"/>
      <c r="R17" s="24"/>
      <c r="S17" s="24"/>
      <c r="T17" s="24"/>
      <c r="U17" s="24"/>
      <c r="V17" s="25" t="str">
        <f>IF(COUNT(M17:U17)=0,"",SUM(M17:U17))</f>
        <v/>
      </c>
      <c r="W17" s="25" t="str">
        <f>IF(AND(L17="",V17=""),"",SUM(L17,V17))</f>
        <v/>
      </c>
    </row>
    <row r="18" spans="1:23" ht="15" customHeight="1" x14ac:dyDescent="0.2">
      <c r="A18" s="26" t="s">
        <v>86</v>
      </c>
      <c r="B18" s="23"/>
      <c r="C18" s="25">
        <f t="shared" ref="C18:K18" si="16">IF($B17="","",FLOOR($B17/18,1)+IF(MOD($B17,18)&gt;=C$4,1,0))</f>
        <v>2</v>
      </c>
      <c r="D18" s="25">
        <f t="shared" si="16"/>
        <v>2</v>
      </c>
      <c r="E18" s="25">
        <f t="shared" si="16"/>
        <v>2</v>
      </c>
      <c r="F18" s="25">
        <f t="shared" si="16"/>
        <v>2</v>
      </c>
      <c r="G18" s="25">
        <f t="shared" si="16"/>
        <v>2</v>
      </c>
      <c r="H18" s="25">
        <f t="shared" si="16"/>
        <v>2</v>
      </c>
      <c r="I18" s="25">
        <f t="shared" si="16"/>
        <v>2</v>
      </c>
      <c r="J18" s="25">
        <f t="shared" si="16"/>
        <v>2</v>
      </c>
      <c r="K18" s="25">
        <f t="shared" si="16"/>
        <v>2</v>
      </c>
      <c r="L18" s="25">
        <f>IF(COUNT(C18:K18)=0,"",SUM(C18:K18))</f>
        <v>18</v>
      </c>
      <c r="M18" s="25">
        <f t="shared" ref="M18:U18" si="17">IF($B17="","",FLOOR($B17/18,1)+IF(MOD($B17,18)&gt;=M$4,1,0))</f>
        <v>2</v>
      </c>
      <c r="N18" s="25">
        <f t="shared" si="17"/>
        <v>2</v>
      </c>
      <c r="O18" s="25">
        <f t="shared" si="17"/>
        <v>2</v>
      </c>
      <c r="P18" s="25">
        <f t="shared" si="17"/>
        <v>2</v>
      </c>
      <c r="Q18" s="25">
        <f t="shared" si="17"/>
        <v>2</v>
      </c>
      <c r="R18" s="25">
        <f t="shared" si="17"/>
        <v>2</v>
      </c>
      <c r="S18" s="25">
        <f t="shared" si="17"/>
        <v>2</v>
      </c>
      <c r="T18" s="25">
        <f t="shared" si="17"/>
        <v>2</v>
      </c>
      <c r="U18" s="25">
        <f t="shared" si="17"/>
        <v>2</v>
      </c>
      <c r="V18" s="25">
        <f>IF(COUNT(M18:U18)=0,"",SUM(M18:U18))</f>
        <v>18</v>
      </c>
      <c r="W18" s="25">
        <f>IF(AND(L18="",V18=""),"",SUM(L18,V18))</f>
        <v>36</v>
      </c>
    </row>
    <row r="19" spans="1:23" ht="15" customHeight="1" x14ac:dyDescent="0.2">
      <c r="A19" s="26" t="s">
        <v>87</v>
      </c>
      <c r="B19" s="23"/>
      <c r="C19" s="25" t="str">
        <f t="shared" ref="C19:K19" si="18">IF(C17="","",MAX(0,2-((C17-C18)-C$3)))</f>
        <v/>
      </c>
      <c r="D19" s="25" t="str">
        <f t="shared" si="18"/>
        <v/>
      </c>
      <c r="E19" s="25" t="str">
        <f t="shared" si="18"/>
        <v/>
      </c>
      <c r="F19" s="25" t="str">
        <f t="shared" si="18"/>
        <v/>
      </c>
      <c r="G19" s="25" t="str">
        <f t="shared" si="18"/>
        <v/>
      </c>
      <c r="H19" s="25" t="str">
        <f t="shared" si="18"/>
        <v/>
      </c>
      <c r="I19" s="25" t="str">
        <f t="shared" si="18"/>
        <v/>
      </c>
      <c r="J19" s="25" t="str">
        <f t="shared" si="18"/>
        <v/>
      </c>
      <c r="K19" s="25" t="str">
        <f t="shared" si="18"/>
        <v/>
      </c>
      <c r="L19" s="25">
        <f>SUM(C19:K19)</f>
        <v>0</v>
      </c>
      <c r="M19" s="25" t="str">
        <f t="shared" ref="M19:U19" si="19">IF(M17="","",MAX(0,2-((M17-M18)-M$3)))</f>
        <v/>
      </c>
      <c r="N19" s="25" t="str">
        <f t="shared" si="19"/>
        <v/>
      </c>
      <c r="O19" s="25" t="str">
        <f t="shared" si="19"/>
        <v/>
      </c>
      <c r="P19" s="25" t="str">
        <f t="shared" si="19"/>
        <v/>
      </c>
      <c r="Q19" s="25" t="str">
        <f t="shared" si="19"/>
        <v/>
      </c>
      <c r="R19" s="25" t="str">
        <f t="shared" si="19"/>
        <v/>
      </c>
      <c r="S19" s="25" t="str">
        <f t="shared" si="19"/>
        <v/>
      </c>
      <c r="T19" s="25" t="str">
        <f t="shared" si="19"/>
        <v/>
      </c>
      <c r="U19" s="25" t="str">
        <f t="shared" si="19"/>
        <v/>
      </c>
      <c r="V19" s="25">
        <f>SUM(M19:U19)</f>
        <v>0</v>
      </c>
      <c r="W19" s="25">
        <f>L19+V19</f>
        <v>0</v>
      </c>
    </row>
    <row r="20" spans="1:23" ht="15" customHeight="1" x14ac:dyDescent="0.2">
      <c r="A20" s="26" t="s">
        <v>88</v>
      </c>
      <c r="B20" s="27">
        <f>'Course Handicaps'!F9</f>
        <v>20</v>
      </c>
      <c r="C20" s="24"/>
      <c r="D20" s="24"/>
      <c r="E20" s="24"/>
      <c r="F20" s="24"/>
      <c r="G20" s="24"/>
      <c r="H20" s="24"/>
      <c r="I20" s="24"/>
      <c r="J20" s="24"/>
      <c r="K20" s="24"/>
      <c r="L20" s="25" t="str">
        <f>IF(COUNT(C20:K20)=0,"",SUM(C20:K20))</f>
        <v/>
      </c>
      <c r="M20" s="24"/>
      <c r="N20" s="24"/>
      <c r="O20" s="24"/>
      <c r="P20" s="24"/>
      <c r="Q20" s="24"/>
      <c r="R20" s="24"/>
      <c r="S20" s="24"/>
      <c r="T20" s="24"/>
      <c r="U20" s="24"/>
      <c r="V20" s="25" t="str">
        <f>IF(COUNT(M20:U20)=0,"",SUM(M20:U20))</f>
        <v/>
      </c>
      <c r="W20" s="25" t="str">
        <f>IF(AND(L20="",V20=""),"",SUM(L20,V20))</f>
        <v/>
      </c>
    </row>
    <row r="21" spans="1:23" ht="15" customHeight="1" x14ac:dyDescent="0.2">
      <c r="A21" s="26" t="s">
        <v>89</v>
      </c>
      <c r="B21" s="23"/>
      <c r="C21" s="25">
        <f t="shared" ref="C21:K21" si="20">IF($B20="","",FLOOR($B20/18,1)+IF(MOD($B20,18)&gt;=C$4,1,0))</f>
        <v>2</v>
      </c>
      <c r="D21" s="25">
        <f t="shared" si="20"/>
        <v>2</v>
      </c>
      <c r="E21" s="25">
        <f t="shared" si="20"/>
        <v>2</v>
      </c>
      <c r="F21" s="25">
        <f t="shared" si="20"/>
        <v>2</v>
      </c>
      <c r="G21" s="25">
        <f t="shared" si="20"/>
        <v>2</v>
      </c>
      <c r="H21" s="25">
        <f t="shared" si="20"/>
        <v>2</v>
      </c>
      <c r="I21" s="25">
        <f t="shared" si="20"/>
        <v>2</v>
      </c>
      <c r="J21" s="25">
        <f t="shared" si="20"/>
        <v>2</v>
      </c>
      <c r="K21" s="25">
        <f t="shared" si="20"/>
        <v>2</v>
      </c>
      <c r="L21" s="25">
        <f>IF(COUNT(C21:K21)=0,"",SUM(C21:K21))</f>
        <v>18</v>
      </c>
      <c r="M21" s="25">
        <f t="shared" ref="M21:U21" si="21">IF($B20="","",FLOOR($B20/18,1)+IF(MOD($B20,18)&gt;=M$4,1,0))</f>
        <v>2</v>
      </c>
      <c r="N21" s="25">
        <f t="shared" si="21"/>
        <v>2</v>
      </c>
      <c r="O21" s="25">
        <f t="shared" si="21"/>
        <v>2</v>
      </c>
      <c r="P21" s="25">
        <f t="shared" si="21"/>
        <v>2</v>
      </c>
      <c r="Q21" s="25">
        <f t="shared" si="21"/>
        <v>2</v>
      </c>
      <c r="R21" s="25">
        <f t="shared" si="21"/>
        <v>2</v>
      </c>
      <c r="S21" s="25">
        <f t="shared" si="21"/>
        <v>2</v>
      </c>
      <c r="T21" s="25">
        <f t="shared" si="21"/>
        <v>2</v>
      </c>
      <c r="U21" s="25">
        <f t="shared" si="21"/>
        <v>2</v>
      </c>
      <c r="V21" s="25">
        <f>IF(COUNT(M21:U21)=0,"",SUM(M21:U21))</f>
        <v>18</v>
      </c>
      <c r="W21" s="25">
        <f>IF(AND(L21="",V21=""),"",SUM(L21,V21))</f>
        <v>36</v>
      </c>
    </row>
    <row r="22" spans="1:23" ht="15" customHeight="1" x14ac:dyDescent="0.2">
      <c r="A22" s="26" t="s">
        <v>90</v>
      </c>
      <c r="B22" s="23"/>
      <c r="C22" s="25" t="str">
        <f t="shared" ref="C22:K22" si="22">IF(C20="","",MAX(0,2-((C20-C21)-C$3)))</f>
        <v/>
      </c>
      <c r="D22" s="25" t="str">
        <f t="shared" si="22"/>
        <v/>
      </c>
      <c r="E22" s="25" t="str">
        <f t="shared" si="22"/>
        <v/>
      </c>
      <c r="F22" s="25" t="str">
        <f t="shared" si="22"/>
        <v/>
      </c>
      <c r="G22" s="25" t="str">
        <f t="shared" si="22"/>
        <v/>
      </c>
      <c r="H22" s="25" t="str">
        <f t="shared" si="22"/>
        <v/>
      </c>
      <c r="I22" s="25" t="str">
        <f t="shared" si="22"/>
        <v/>
      </c>
      <c r="J22" s="25" t="str">
        <f t="shared" si="22"/>
        <v/>
      </c>
      <c r="K22" s="25" t="str">
        <f t="shared" si="22"/>
        <v/>
      </c>
      <c r="L22" s="25">
        <f>SUM(C22:K22)</f>
        <v>0</v>
      </c>
      <c r="M22" s="25" t="str">
        <f t="shared" ref="M22:U22" si="23">IF(M20="","",MAX(0,2-((M20-M21)-M$3)))</f>
        <v/>
      </c>
      <c r="N22" s="25" t="str">
        <f t="shared" si="23"/>
        <v/>
      </c>
      <c r="O22" s="25" t="str">
        <f t="shared" si="23"/>
        <v/>
      </c>
      <c r="P22" s="25" t="str">
        <f t="shared" si="23"/>
        <v/>
      </c>
      <c r="Q22" s="25" t="str">
        <f t="shared" si="23"/>
        <v/>
      </c>
      <c r="R22" s="25" t="str">
        <f t="shared" si="23"/>
        <v/>
      </c>
      <c r="S22" s="25" t="str">
        <f t="shared" si="23"/>
        <v/>
      </c>
      <c r="T22" s="25" t="str">
        <f t="shared" si="23"/>
        <v/>
      </c>
      <c r="U22" s="25" t="str">
        <f t="shared" si="23"/>
        <v/>
      </c>
      <c r="V22" s="25">
        <f>SUM(M22:U22)</f>
        <v>0</v>
      </c>
      <c r="W22" s="25">
        <f>L22+V22</f>
        <v>0</v>
      </c>
    </row>
    <row r="23" spans="1:23" ht="15" customHeight="1" x14ac:dyDescent="0.2">
      <c r="A23" s="26" t="s">
        <v>91</v>
      </c>
      <c r="B23" s="27">
        <f>'Course Handicaps'!F10</f>
        <v>16</v>
      </c>
      <c r="C23" s="24"/>
      <c r="D23" s="24"/>
      <c r="E23" s="24"/>
      <c r="F23" s="24"/>
      <c r="G23" s="24"/>
      <c r="H23" s="24"/>
      <c r="I23" s="24"/>
      <c r="J23" s="24"/>
      <c r="K23" s="24"/>
      <c r="L23" s="25" t="str">
        <f>IF(COUNT(C23:K23)=0,"",SUM(C23:K23))</f>
        <v/>
      </c>
      <c r="M23" s="24"/>
      <c r="N23" s="24"/>
      <c r="O23" s="24"/>
      <c r="P23" s="24"/>
      <c r="Q23" s="24"/>
      <c r="R23" s="24"/>
      <c r="S23" s="24"/>
      <c r="T23" s="24"/>
      <c r="U23" s="24"/>
      <c r="V23" s="25" t="str">
        <f>IF(COUNT(M23:U23)=0,"",SUM(M23:U23))</f>
        <v/>
      </c>
      <c r="W23" s="25" t="str">
        <f>IF(AND(L23="",V23=""),"",SUM(L23,V23))</f>
        <v/>
      </c>
    </row>
    <row r="24" spans="1:23" ht="15" customHeight="1" x14ac:dyDescent="0.2">
      <c r="A24" s="26" t="s">
        <v>92</v>
      </c>
      <c r="B24" s="23"/>
      <c r="C24" s="25">
        <f t="shared" ref="C24:K24" si="24">IF($B23="","",FLOOR($B23/18,1)+IF(MOD($B23,18)&gt;=C$4,1,0))</f>
        <v>1</v>
      </c>
      <c r="D24" s="25">
        <f t="shared" si="24"/>
        <v>1</v>
      </c>
      <c r="E24" s="25">
        <f t="shared" si="24"/>
        <v>1</v>
      </c>
      <c r="F24" s="25">
        <f t="shared" si="24"/>
        <v>1</v>
      </c>
      <c r="G24" s="25">
        <f t="shared" si="24"/>
        <v>1</v>
      </c>
      <c r="H24" s="25">
        <f t="shared" si="24"/>
        <v>1</v>
      </c>
      <c r="I24" s="25">
        <f t="shared" si="24"/>
        <v>1</v>
      </c>
      <c r="J24" s="25">
        <f t="shared" si="24"/>
        <v>1</v>
      </c>
      <c r="K24" s="25">
        <f t="shared" si="24"/>
        <v>1</v>
      </c>
      <c r="L24" s="25">
        <f>IF(COUNT(C24:K24)=0,"",SUM(C24:K24))</f>
        <v>9</v>
      </c>
      <c r="M24" s="25">
        <f t="shared" ref="M24:U24" si="25">IF($B23="","",FLOOR($B23/18,1)+IF(MOD($B23,18)&gt;=M$4,1,0))</f>
        <v>1</v>
      </c>
      <c r="N24" s="25">
        <f t="shared" si="25"/>
        <v>1</v>
      </c>
      <c r="O24" s="25">
        <f t="shared" si="25"/>
        <v>1</v>
      </c>
      <c r="P24" s="25">
        <f t="shared" si="25"/>
        <v>1</v>
      </c>
      <c r="Q24" s="25">
        <f t="shared" si="25"/>
        <v>1</v>
      </c>
      <c r="R24" s="25">
        <f t="shared" si="25"/>
        <v>1</v>
      </c>
      <c r="S24" s="25">
        <f t="shared" si="25"/>
        <v>1</v>
      </c>
      <c r="T24" s="25">
        <f t="shared" si="25"/>
        <v>1</v>
      </c>
      <c r="U24" s="25">
        <f t="shared" si="25"/>
        <v>1</v>
      </c>
      <c r="V24" s="25">
        <f>IF(COUNT(M24:U24)=0,"",SUM(M24:U24))</f>
        <v>9</v>
      </c>
      <c r="W24" s="25">
        <f>IF(AND(L24="",V24=""),"",SUM(L24,V24))</f>
        <v>18</v>
      </c>
    </row>
    <row r="25" spans="1:23" ht="15" customHeight="1" x14ac:dyDescent="0.2">
      <c r="A25" s="26" t="s">
        <v>93</v>
      </c>
      <c r="B25" s="23"/>
      <c r="C25" s="25" t="str">
        <f t="shared" ref="C25:K25" si="26">IF(C23="","",MAX(0,2-((C23-C24)-C$3)))</f>
        <v/>
      </c>
      <c r="D25" s="25" t="str">
        <f t="shared" si="26"/>
        <v/>
      </c>
      <c r="E25" s="25" t="str">
        <f t="shared" si="26"/>
        <v/>
      </c>
      <c r="F25" s="25" t="str">
        <f t="shared" si="26"/>
        <v/>
      </c>
      <c r="G25" s="25" t="str">
        <f t="shared" si="26"/>
        <v/>
      </c>
      <c r="H25" s="25" t="str">
        <f t="shared" si="26"/>
        <v/>
      </c>
      <c r="I25" s="25" t="str">
        <f t="shared" si="26"/>
        <v/>
      </c>
      <c r="J25" s="25" t="str">
        <f t="shared" si="26"/>
        <v/>
      </c>
      <c r="K25" s="25" t="str">
        <f t="shared" si="26"/>
        <v/>
      </c>
      <c r="L25" s="25">
        <f>SUM(C25:K25)</f>
        <v>0</v>
      </c>
      <c r="M25" s="25" t="str">
        <f t="shared" ref="M25:U25" si="27">IF(M23="","",MAX(0,2-((M23-M24)-M$3)))</f>
        <v/>
      </c>
      <c r="N25" s="25" t="str">
        <f t="shared" si="27"/>
        <v/>
      </c>
      <c r="O25" s="25" t="str">
        <f t="shared" si="27"/>
        <v/>
      </c>
      <c r="P25" s="25" t="str">
        <f t="shared" si="27"/>
        <v/>
      </c>
      <c r="Q25" s="25" t="str">
        <f t="shared" si="27"/>
        <v/>
      </c>
      <c r="R25" s="25" t="str">
        <f t="shared" si="27"/>
        <v/>
      </c>
      <c r="S25" s="25" t="str">
        <f t="shared" si="27"/>
        <v/>
      </c>
      <c r="T25" s="25" t="str">
        <f t="shared" si="27"/>
        <v/>
      </c>
      <c r="U25" s="25" t="str">
        <f t="shared" si="27"/>
        <v/>
      </c>
      <c r="V25" s="25">
        <f>SUM(M25:U25)</f>
        <v>0</v>
      </c>
      <c r="W25" s="25">
        <f>L25+V25</f>
        <v>0</v>
      </c>
    </row>
    <row r="26" spans="1:23" ht="15" customHeight="1" x14ac:dyDescent="0.2">
      <c r="A26" s="26" t="s">
        <v>94</v>
      </c>
      <c r="B26" s="27">
        <f>'Course Handicaps'!F11</f>
        <v>28</v>
      </c>
      <c r="C26" s="24"/>
      <c r="D26" s="24"/>
      <c r="E26" s="24"/>
      <c r="F26" s="24"/>
      <c r="G26" s="24"/>
      <c r="H26" s="24"/>
      <c r="I26" s="24"/>
      <c r="J26" s="24"/>
      <c r="K26" s="24"/>
      <c r="L26" s="25" t="str">
        <f>IF(COUNT(C26:K26)=0,"",SUM(C26:K26))</f>
        <v/>
      </c>
      <c r="M26" s="24"/>
      <c r="N26" s="24"/>
      <c r="O26" s="24"/>
      <c r="P26" s="24"/>
      <c r="Q26" s="24"/>
      <c r="R26" s="24"/>
      <c r="S26" s="24"/>
      <c r="T26" s="24"/>
      <c r="U26" s="24"/>
      <c r="V26" s="25" t="str">
        <f>IF(COUNT(M26:U26)=0,"",SUM(M26:U26))</f>
        <v/>
      </c>
      <c r="W26" s="25" t="str">
        <f>IF(AND(L26="",V26=""),"",SUM(L26,V26))</f>
        <v/>
      </c>
    </row>
    <row r="27" spans="1:23" ht="15" customHeight="1" x14ac:dyDescent="0.2">
      <c r="A27" s="26" t="s">
        <v>95</v>
      </c>
      <c r="B27" s="23"/>
      <c r="C27" s="25">
        <f t="shared" ref="C27:K27" si="28">IF($B26="","",FLOOR($B26/18,1)+IF(MOD($B26,18)&gt;=C$4,1,0))</f>
        <v>2</v>
      </c>
      <c r="D27" s="25">
        <f t="shared" si="28"/>
        <v>2</v>
      </c>
      <c r="E27" s="25">
        <f t="shared" si="28"/>
        <v>2</v>
      </c>
      <c r="F27" s="25">
        <f t="shared" si="28"/>
        <v>2</v>
      </c>
      <c r="G27" s="25">
        <f t="shared" si="28"/>
        <v>2</v>
      </c>
      <c r="H27" s="25">
        <f t="shared" si="28"/>
        <v>2</v>
      </c>
      <c r="I27" s="25">
        <f t="shared" si="28"/>
        <v>2</v>
      </c>
      <c r="J27" s="25">
        <f t="shared" si="28"/>
        <v>2</v>
      </c>
      <c r="K27" s="25">
        <f t="shared" si="28"/>
        <v>2</v>
      </c>
      <c r="L27" s="25">
        <f>IF(COUNT(C27:K27)=0,"",SUM(C27:K27))</f>
        <v>18</v>
      </c>
      <c r="M27" s="25">
        <f t="shared" ref="M27:U27" si="29">IF($B26="","",FLOOR($B26/18,1)+IF(MOD($B26,18)&gt;=M$4,1,0))</f>
        <v>2</v>
      </c>
      <c r="N27" s="25">
        <f t="shared" si="29"/>
        <v>2</v>
      </c>
      <c r="O27" s="25">
        <f t="shared" si="29"/>
        <v>2</v>
      </c>
      <c r="P27" s="25">
        <f t="shared" si="29"/>
        <v>2</v>
      </c>
      <c r="Q27" s="25">
        <f t="shared" si="29"/>
        <v>2</v>
      </c>
      <c r="R27" s="25">
        <f t="shared" si="29"/>
        <v>2</v>
      </c>
      <c r="S27" s="25">
        <f t="shared" si="29"/>
        <v>2</v>
      </c>
      <c r="T27" s="25">
        <f t="shared" si="29"/>
        <v>2</v>
      </c>
      <c r="U27" s="25">
        <f t="shared" si="29"/>
        <v>2</v>
      </c>
      <c r="V27" s="25">
        <f>IF(COUNT(M27:U27)=0,"",SUM(M27:U27))</f>
        <v>18</v>
      </c>
      <c r="W27" s="25">
        <f>IF(AND(L27="",V27=""),"",SUM(L27,V27))</f>
        <v>36</v>
      </c>
    </row>
    <row r="28" spans="1:23" ht="15" customHeight="1" x14ac:dyDescent="0.2">
      <c r="A28" s="26" t="s">
        <v>96</v>
      </c>
      <c r="B28" s="23"/>
      <c r="C28" s="25" t="str">
        <f t="shared" ref="C28:K28" si="30">IF(C26="","",MAX(0,2-((C26-C27)-C$3)))</f>
        <v/>
      </c>
      <c r="D28" s="25" t="str">
        <f t="shared" si="30"/>
        <v/>
      </c>
      <c r="E28" s="25" t="str">
        <f t="shared" si="30"/>
        <v/>
      </c>
      <c r="F28" s="25" t="str">
        <f t="shared" si="30"/>
        <v/>
      </c>
      <c r="G28" s="25" t="str">
        <f t="shared" si="30"/>
        <v/>
      </c>
      <c r="H28" s="25" t="str">
        <f t="shared" si="30"/>
        <v/>
      </c>
      <c r="I28" s="25" t="str">
        <f t="shared" si="30"/>
        <v/>
      </c>
      <c r="J28" s="25" t="str">
        <f t="shared" si="30"/>
        <v/>
      </c>
      <c r="K28" s="25" t="str">
        <f t="shared" si="30"/>
        <v/>
      </c>
      <c r="L28" s="25">
        <f>SUM(C28:K28)</f>
        <v>0</v>
      </c>
      <c r="M28" s="25" t="str">
        <f t="shared" ref="M28:U28" si="31">IF(M26="","",MAX(0,2-((M26-M27)-M$3)))</f>
        <v/>
      </c>
      <c r="N28" s="25" t="str">
        <f t="shared" si="31"/>
        <v/>
      </c>
      <c r="O28" s="25" t="str">
        <f t="shared" si="31"/>
        <v/>
      </c>
      <c r="P28" s="25" t="str">
        <f t="shared" si="31"/>
        <v/>
      </c>
      <c r="Q28" s="25" t="str">
        <f t="shared" si="31"/>
        <v/>
      </c>
      <c r="R28" s="25" t="str">
        <f t="shared" si="31"/>
        <v/>
      </c>
      <c r="S28" s="25" t="str">
        <f t="shared" si="31"/>
        <v/>
      </c>
      <c r="T28" s="25" t="str">
        <f t="shared" si="31"/>
        <v/>
      </c>
      <c r="U28" s="25" t="str">
        <f t="shared" si="31"/>
        <v/>
      </c>
      <c r="V28" s="25">
        <f>SUM(M28:U28)</f>
        <v>0</v>
      </c>
      <c r="W28" s="25">
        <f>L28+V28</f>
        <v>0</v>
      </c>
    </row>
    <row r="29" spans="1:23" ht="15" customHeight="1" x14ac:dyDescent="0.2">
      <c r="A29" s="23"/>
      <c r="B29" s="23"/>
      <c r="C29" s="23"/>
      <c r="D29" s="23"/>
      <c r="E29" s="23"/>
      <c r="F29" s="23"/>
      <c r="G29" s="23"/>
      <c r="H29" s="23"/>
      <c r="I29" s="23"/>
      <c r="J29" s="23"/>
      <c r="K29" s="23"/>
      <c r="L29" s="23"/>
      <c r="M29" s="23"/>
      <c r="N29" s="23"/>
      <c r="O29" s="23"/>
      <c r="P29" s="23"/>
      <c r="Q29" s="23"/>
      <c r="R29" s="23"/>
      <c r="S29" s="23"/>
      <c r="T29" s="23"/>
      <c r="U29" s="23"/>
      <c r="V29" s="23"/>
      <c r="W29" s="23"/>
    </row>
    <row r="30" spans="1:23" ht="15" customHeight="1" x14ac:dyDescent="0.2">
      <c r="A30" s="1" t="s">
        <v>97</v>
      </c>
      <c r="B30" s="1"/>
      <c r="C30" s="1"/>
      <c r="D30" s="1"/>
      <c r="E30" s="1"/>
      <c r="F30" s="1"/>
      <c r="G30" s="1"/>
      <c r="H30" s="1"/>
      <c r="I30" s="1"/>
      <c r="J30" s="1"/>
      <c r="K30" s="1"/>
      <c r="L30" s="1"/>
      <c r="M30" s="1"/>
      <c r="N30" s="1"/>
      <c r="O30" s="1"/>
      <c r="P30" s="1"/>
      <c r="Q30" s="1"/>
      <c r="R30" s="1"/>
      <c r="S30" s="1"/>
      <c r="T30" s="1"/>
      <c r="U30" s="1"/>
      <c r="V30" s="1"/>
      <c r="W30" s="1"/>
    </row>
  </sheetData>
  <mergeCells count="2">
    <mergeCell ref="A1:W1"/>
    <mergeCell ref="A30:W3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30"/>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baseColWidth="10" defaultColWidth="8.6640625" defaultRowHeight="15" x14ac:dyDescent="0.2"/>
  <cols>
    <col min="1" max="1" width="20" customWidth="1"/>
    <col min="2" max="2" width="7" customWidth="1"/>
    <col min="3" max="20" width="6.5" customWidth="1"/>
    <col min="21" max="21" width="7" customWidth="1"/>
    <col min="23" max="23" width="8" customWidth="1"/>
  </cols>
  <sheetData>
    <row r="1" spans="1:23" ht="24" customHeight="1" x14ac:dyDescent="0.2">
      <c r="A1" s="2" t="s">
        <v>99</v>
      </c>
      <c r="B1" s="2"/>
      <c r="C1" s="2"/>
      <c r="D1" s="2"/>
      <c r="E1" s="2"/>
      <c r="F1" s="2"/>
      <c r="G1" s="2"/>
      <c r="H1" s="2"/>
      <c r="I1" s="2"/>
      <c r="J1" s="2"/>
      <c r="K1" s="2"/>
      <c r="L1" s="2"/>
      <c r="M1" s="2"/>
      <c r="N1" s="2"/>
      <c r="O1" s="2"/>
      <c r="P1" s="2"/>
      <c r="Q1" s="2"/>
      <c r="R1" s="2"/>
      <c r="S1" s="2"/>
      <c r="T1" s="2"/>
      <c r="U1" s="2"/>
      <c r="V1" s="2"/>
      <c r="W1" s="2"/>
    </row>
    <row r="2" spans="1:23" ht="15" customHeight="1" x14ac:dyDescent="0.2">
      <c r="A2" s="14" t="s">
        <v>66</v>
      </c>
      <c r="B2" s="14" t="s">
        <v>67</v>
      </c>
      <c r="C2" s="14">
        <v>1</v>
      </c>
      <c r="D2" s="14">
        <v>2</v>
      </c>
      <c r="E2" s="14">
        <v>3</v>
      </c>
      <c r="F2" s="14">
        <v>4</v>
      </c>
      <c r="G2" s="14">
        <v>5</v>
      </c>
      <c r="H2" s="14">
        <v>6</v>
      </c>
      <c r="I2" s="14">
        <v>7</v>
      </c>
      <c r="J2" s="14">
        <v>8</v>
      </c>
      <c r="K2" s="14">
        <v>9</v>
      </c>
      <c r="L2" s="14" t="s">
        <v>68</v>
      </c>
      <c r="M2" s="14">
        <v>10</v>
      </c>
      <c r="N2" s="14">
        <v>11</v>
      </c>
      <c r="O2" s="14">
        <v>12</v>
      </c>
      <c r="P2" s="14">
        <v>13</v>
      </c>
      <c r="Q2" s="14">
        <v>14</v>
      </c>
      <c r="R2" s="14">
        <v>15</v>
      </c>
      <c r="S2" s="14">
        <v>16</v>
      </c>
      <c r="T2" s="14">
        <v>17</v>
      </c>
      <c r="U2" s="14">
        <v>18</v>
      </c>
      <c r="V2" s="14" t="s">
        <v>69</v>
      </c>
      <c r="W2" s="14" t="s">
        <v>70</v>
      </c>
    </row>
    <row r="3" spans="1:23" ht="15" customHeight="1" x14ac:dyDescent="0.2">
      <c r="A3" s="22" t="s">
        <v>71</v>
      </c>
      <c r="B3" s="23"/>
      <c r="C3" s="24"/>
      <c r="D3" s="24"/>
      <c r="E3" s="24"/>
      <c r="F3" s="24"/>
      <c r="G3" s="24"/>
      <c r="H3" s="24"/>
      <c r="I3" s="24"/>
      <c r="J3" s="24"/>
      <c r="K3" s="24"/>
      <c r="L3" s="25">
        <f>SUM(C3:K3)</f>
        <v>0</v>
      </c>
      <c r="M3" s="24"/>
      <c r="N3" s="24"/>
      <c r="O3" s="24"/>
      <c r="P3" s="24"/>
      <c r="Q3" s="24"/>
      <c r="R3" s="24"/>
      <c r="S3" s="24"/>
      <c r="T3" s="24"/>
      <c r="U3" s="24"/>
      <c r="V3" s="25">
        <f>SUM(M3:U3)</f>
        <v>0</v>
      </c>
      <c r="W3" s="25">
        <f>L3+V3</f>
        <v>0</v>
      </c>
    </row>
    <row r="4" spans="1:23" ht="15" customHeight="1" x14ac:dyDescent="0.2">
      <c r="A4" s="22" t="s">
        <v>72</v>
      </c>
      <c r="B4" s="23"/>
      <c r="C4" s="24"/>
      <c r="D4" s="24"/>
      <c r="E4" s="24"/>
      <c r="F4" s="24"/>
      <c r="G4" s="24"/>
      <c r="H4" s="24"/>
      <c r="I4" s="24"/>
      <c r="J4" s="24"/>
      <c r="K4" s="24"/>
      <c r="L4" s="23"/>
      <c r="M4" s="24"/>
      <c r="N4" s="24"/>
      <c r="O4" s="24"/>
      <c r="P4" s="24"/>
      <c r="Q4" s="24"/>
      <c r="R4" s="24"/>
      <c r="S4" s="24"/>
      <c r="T4" s="24"/>
      <c r="U4" s="24"/>
      <c r="V4" s="23"/>
      <c r="W4" s="23"/>
    </row>
    <row r="5" spans="1:23" ht="15" customHeight="1" x14ac:dyDescent="0.2">
      <c r="A5" s="26" t="s">
        <v>73</v>
      </c>
      <c r="B5" s="27"/>
      <c r="C5" s="24"/>
      <c r="D5" s="24"/>
      <c r="E5" s="24"/>
      <c r="F5" s="24"/>
      <c r="G5" s="24"/>
      <c r="H5" s="24"/>
      <c r="I5" s="24"/>
      <c r="J5" s="24"/>
      <c r="K5" s="24"/>
      <c r="L5" s="25" t="str">
        <f>IF(COUNT(C5:K5)=0,"",SUM(C5:K5))</f>
        <v/>
      </c>
      <c r="M5" s="24"/>
      <c r="N5" s="24"/>
      <c r="O5" s="24"/>
      <c r="P5" s="24"/>
      <c r="Q5" s="24"/>
      <c r="R5" s="24"/>
      <c r="S5" s="24"/>
      <c r="T5" s="24"/>
      <c r="U5" s="24"/>
      <c r="V5" s="25" t="str">
        <f>IF(COUNT(M5:U5)=0,"",SUM(M5:U5))</f>
        <v/>
      </c>
      <c r="W5" s="25" t="str">
        <f>IF(AND(L5="",V5=""),"",SUM(L5,V5))</f>
        <v/>
      </c>
    </row>
    <row r="6" spans="1:23" ht="15" customHeight="1" x14ac:dyDescent="0.2">
      <c r="A6" s="26" t="s">
        <v>74</v>
      </c>
      <c r="B6" s="23"/>
      <c r="C6" s="25" t="str">
        <f t="shared" ref="C6:K6" si="0">IF($B5="","",FLOOR($B5/18,1)+IF(MOD($B5,18)&gt;=C$4,1,0))</f>
        <v/>
      </c>
      <c r="D6" s="25" t="str">
        <f t="shared" si="0"/>
        <v/>
      </c>
      <c r="E6" s="25" t="str">
        <f t="shared" si="0"/>
        <v/>
      </c>
      <c r="F6" s="25" t="str">
        <f t="shared" si="0"/>
        <v/>
      </c>
      <c r="G6" s="25" t="str">
        <f t="shared" si="0"/>
        <v/>
      </c>
      <c r="H6" s="25" t="str">
        <f t="shared" si="0"/>
        <v/>
      </c>
      <c r="I6" s="25" t="str">
        <f t="shared" si="0"/>
        <v/>
      </c>
      <c r="J6" s="25" t="str">
        <f t="shared" si="0"/>
        <v/>
      </c>
      <c r="K6" s="25" t="str">
        <f t="shared" si="0"/>
        <v/>
      </c>
      <c r="L6" s="25" t="str">
        <f>IF(COUNT(C6:K6)=0,"",SUM(C6:K6))</f>
        <v/>
      </c>
      <c r="M6" s="25" t="str">
        <f t="shared" ref="M6:U6" si="1">IF($B5="","",FLOOR($B5/18,1)+IF(MOD($B5,18)&gt;=M$4,1,0))</f>
        <v/>
      </c>
      <c r="N6" s="25" t="str">
        <f t="shared" si="1"/>
        <v/>
      </c>
      <c r="O6" s="25" t="str">
        <f t="shared" si="1"/>
        <v/>
      </c>
      <c r="P6" s="25" t="str">
        <f t="shared" si="1"/>
        <v/>
      </c>
      <c r="Q6" s="25" t="str">
        <f t="shared" si="1"/>
        <v/>
      </c>
      <c r="R6" s="25" t="str">
        <f t="shared" si="1"/>
        <v/>
      </c>
      <c r="S6" s="25" t="str">
        <f t="shared" si="1"/>
        <v/>
      </c>
      <c r="T6" s="25" t="str">
        <f t="shared" si="1"/>
        <v/>
      </c>
      <c r="U6" s="25" t="str">
        <f t="shared" si="1"/>
        <v/>
      </c>
      <c r="V6" s="25" t="str">
        <f>IF(COUNT(M6:U6)=0,"",SUM(M6:U6))</f>
        <v/>
      </c>
      <c r="W6" s="25" t="str">
        <f>IF(AND(L6="",V6=""),"",SUM(L6,V6))</f>
        <v/>
      </c>
    </row>
    <row r="7" spans="1:23" ht="15" customHeight="1" x14ac:dyDescent="0.2">
      <c r="A7" s="26" t="s">
        <v>75</v>
      </c>
      <c r="B7" s="23"/>
      <c r="C7" s="25" t="str">
        <f t="shared" ref="C7:K7" si="2">IF(C5="","",MAX(0,2-((C5-C6)-C$3)))</f>
        <v/>
      </c>
      <c r="D7" s="25" t="str">
        <f t="shared" si="2"/>
        <v/>
      </c>
      <c r="E7" s="25" t="str">
        <f t="shared" si="2"/>
        <v/>
      </c>
      <c r="F7" s="25" t="str">
        <f t="shared" si="2"/>
        <v/>
      </c>
      <c r="G7" s="25" t="str">
        <f t="shared" si="2"/>
        <v/>
      </c>
      <c r="H7" s="25" t="str">
        <f t="shared" si="2"/>
        <v/>
      </c>
      <c r="I7" s="25" t="str">
        <f t="shared" si="2"/>
        <v/>
      </c>
      <c r="J7" s="25" t="str">
        <f t="shared" si="2"/>
        <v/>
      </c>
      <c r="K7" s="25" t="str">
        <f t="shared" si="2"/>
        <v/>
      </c>
      <c r="L7" s="25">
        <f>SUM(C7:K7)</f>
        <v>0</v>
      </c>
      <c r="M7" s="25" t="str">
        <f t="shared" ref="M7:U7" si="3">IF(M5="","",MAX(0,2-((M5-M6)-M$3)))</f>
        <v/>
      </c>
      <c r="N7" s="25" t="str">
        <f t="shared" si="3"/>
        <v/>
      </c>
      <c r="O7" s="25" t="str">
        <f t="shared" si="3"/>
        <v/>
      </c>
      <c r="P7" s="25" t="str">
        <f t="shared" si="3"/>
        <v/>
      </c>
      <c r="Q7" s="25" t="str">
        <f t="shared" si="3"/>
        <v/>
      </c>
      <c r="R7" s="25" t="str">
        <f t="shared" si="3"/>
        <v/>
      </c>
      <c r="S7" s="25" t="str">
        <f t="shared" si="3"/>
        <v/>
      </c>
      <c r="T7" s="25" t="str">
        <f t="shared" si="3"/>
        <v/>
      </c>
      <c r="U7" s="25" t="str">
        <f t="shared" si="3"/>
        <v/>
      </c>
      <c r="V7" s="25">
        <f>SUM(M7:U7)</f>
        <v>0</v>
      </c>
      <c r="W7" s="25">
        <f>L7+V7</f>
        <v>0</v>
      </c>
    </row>
    <row r="8" spans="1:23" ht="15" customHeight="1" x14ac:dyDescent="0.2">
      <c r="A8" s="26" t="s">
        <v>76</v>
      </c>
      <c r="B8" s="27"/>
      <c r="C8" s="24"/>
      <c r="D8" s="24"/>
      <c r="E8" s="24"/>
      <c r="F8" s="24"/>
      <c r="G8" s="24"/>
      <c r="H8" s="24"/>
      <c r="I8" s="24"/>
      <c r="J8" s="24"/>
      <c r="K8" s="24"/>
      <c r="L8" s="25" t="str">
        <f>IF(COUNT(C8:K8)=0,"",SUM(C8:K8))</f>
        <v/>
      </c>
      <c r="M8" s="24"/>
      <c r="N8" s="24"/>
      <c r="O8" s="24"/>
      <c r="P8" s="24"/>
      <c r="Q8" s="24"/>
      <c r="R8" s="24"/>
      <c r="S8" s="24"/>
      <c r="T8" s="24"/>
      <c r="U8" s="24"/>
      <c r="V8" s="25" t="str">
        <f>IF(COUNT(M8:U8)=0,"",SUM(M8:U8))</f>
        <v/>
      </c>
      <c r="W8" s="25" t="str">
        <f>IF(AND(L8="",V8=""),"",SUM(L8,V8))</f>
        <v/>
      </c>
    </row>
    <row r="9" spans="1:23" ht="15" customHeight="1" x14ac:dyDescent="0.2">
      <c r="A9" s="26" t="s">
        <v>77</v>
      </c>
      <c r="B9" s="23"/>
      <c r="C9" s="25" t="str">
        <f t="shared" ref="C9:K9" si="4">IF($B8="","",FLOOR($B8/18,1)+IF(MOD($B8,18)&gt;=C$4,1,0))</f>
        <v/>
      </c>
      <c r="D9" s="25" t="str">
        <f t="shared" si="4"/>
        <v/>
      </c>
      <c r="E9" s="25" t="str">
        <f t="shared" si="4"/>
        <v/>
      </c>
      <c r="F9" s="25" t="str">
        <f t="shared" si="4"/>
        <v/>
      </c>
      <c r="G9" s="25" t="str">
        <f t="shared" si="4"/>
        <v/>
      </c>
      <c r="H9" s="25" t="str">
        <f t="shared" si="4"/>
        <v/>
      </c>
      <c r="I9" s="25" t="str">
        <f t="shared" si="4"/>
        <v/>
      </c>
      <c r="J9" s="25" t="str">
        <f t="shared" si="4"/>
        <v/>
      </c>
      <c r="K9" s="25" t="str">
        <f t="shared" si="4"/>
        <v/>
      </c>
      <c r="L9" s="25" t="str">
        <f>IF(COUNT(C9:K9)=0,"",SUM(C9:K9))</f>
        <v/>
      </c>
      <c r="M9" s="25" t="str">
        <f t="shared" ref="M9:U9" si="5">IF($B8="","",FLOOR($B8/18,1)+IF(MOD($B8,18)&gt;=M$4,1,0))</f>
        <v/>
      </c>
      <c r="N9" s="25" t="str">
        <f t="shared" si="5"/>
        <v/>
      </c>
      <c r="O9" s="25" t="str">
        <f t="shared" si="5"/>
        <v/>
      </c>
      <c r="P9" s="25" t="str">
        <f t="shared" si="5"/>
        <v/>
      </c>
      <c r="Q9" s="25" t="str">
        <f t="shared" si="5"/>
        <v/>
      </c>
      <c r="R9" s="25" t="str">
        <f t="shared" si="5"/>
        <v/>
      </c>
      <c r="S9" s="25" t="str">
        <f t="shared" si="5"/>
        <v/>
      </c>
      <c r="T9" s="25" t="str">
        <f t="shared" si="5"/>
        <v/>
      </c>
      <c r="U9" s="25" t="str">
        <f t="shared" si="5"/>
        <v/>
      </c>
      <c r="V9" s="25" t="str">
        <f>IF(COUNT(M9:U9)=0,"",SUM(M9:U9))</f>
        <v/>
      </c>
      <c r="W9" s="25" t="str">
        <f>IF(AND(L9="",V9=""),"",SUM(L9,V9))</f>
        <v/>
      </c>
    </row>
    <row r="10" spans="1:23" ht="15" customHeight="1" x14ac:dyDescent="0.2">
      <c r="A10" s="26" t="s">
        <v>78</v>
      </c>
      <c r="B10" s="23"/>
      <c r="C10" s="25" t="str">
        <f t="shared" ref="C10:K10" si="6">IF(C8="","",MAX(0,2-((C8-C9)-C$3)))</f>
        <v/>
      </c>
      <c r="D10" s="25" t="str">
        <f t="shared" si="6"/>
        <v/>
      </c>
      <c r="E10" s="25" t="str">
        <f t="shared" si="6"/>
        <v/>
      </c>
      <c r="F10" s="25" t="str">
        <f t="shared" si="6"/>
        <v/>
      </c>
      <c r="G10" s="25" t="str">
        <f t="shared" si="6"/>
        <v/>
      </c>
      <c r="H10" s="25" t="str">
        <f t="shared" si="6"/>
        <v/>
      </c>
      <c r="I10" s="25" t="str">
        <f t="shared" si="6"/>
        <v/>
      </c>
      <c r="J10" s="25" t="str">
        <f t="shared" si="6"/>
        <v/>
      </c>
      <c r="K10" s="25" t="str">
        <f t="shared" si="6"/>
        <v/>
      </c>
      <c r="L10" s="25">
        <f>SUM(C10:K10)</f>
        <v>0</v>
      </c>
      <c r="M10" s="25" t="str">
        <f t="shared" ref="M10:U10" si="7">IF(M8="","",MAX(0,2-((M8-M9)-M$3)))</f>
        <v/>
      </c>
      <c r="N10" s="25" t="str">
        <f t="shared" si="7"/>
        <v/>
      </c>
      <c r="O10" s="25" t="str">
        <f t="shared" si="7"/>
        <v/>
      </c>
      <c r="P10" s="25" t="str">
        <f t="shared" si="7"/>
        <v/>
      </c>
      <c r="Q10" s="25" t="str">
        <f t="shared" si="7"/>
        <v/>
      </c>
      <c r="R10" s="25" t="str">
        <f t="shared" si="7"/>
        <v/>
      </c>
      <c r="S10" s="25" t="str">
        <f t="shared" si="7"/>
        <v/>
      </c>
      <c r="T10" s="25" t="str">
        <f t="shared" si="7"/>
        <v/>
      </c>
      <c r="U10" s="25" t="str">
        <f t="shared" si="7"/>
        <v/>
      </c>
      <c r="V10" s="25">
        <f>SUM(M10:U10)</f>
        <v>0</v>
      </c>
      <c r="W10" s="25">
        <f>L10+V10</f>
        <v>0</v>
      </c>
    </row>
    <row r="11" spans="1:23" ht="15" customHeight="1" x14ac:dyDescent="0.2">
      <c r="A11" s="26" t="s">
        <v>79</v>
      </c>
      <c r="B11" s="27"/>
      <c r="C11" s="24"/>
      <c r="D11" s="24"/>
      <c r="E11" s="24"/>
      <c r="F11" s="24"/>
      <c r="G11" s="24"/>
      <c r="H11" s="24"/>
      <c r="I11" s="24"/>
      <c r="J11" s="24"/>
      <c r="K11" s="24"/>
      <c r="L11" s="25" t="str">
        <f>IF(COUNT(C11:K11)=0,"",SUM(C11:K11))</f>
        <v/>
      </c>
      <c r="M11" s="24"/>
      <c r="N11" s="24"/>
      <c r="O11" s="24"/>
      <c r="P11" s="24"/>
      <c r="Q11" s="24"/>
      <c r="R11" s="24"/>
      <c r="S11" s="24"/>
      <c r="T11" s="24"/>
      <c r="U11" s="24"/>
      <c r="V11" s="25" t="str">
        <f>IF(COUNT(M11:U11)=0,"",SUM(M11:U11))</f>
        <v/>
      </c>
      <c r="W11" s="25" t="str">
        <f>IF(AND(L11="",V11=""),"",SUM(L11,V11))</f>
        <v/>
      </c>
    </row>
    <row r="12" spans="1:23" ht="15" customHeight="1" x14ac:dyDescent="0.2">
      <c r="A12" s="26" t="s">
        <v>80</v>
      </c>
      <c r="B12" s="23"/>
      <c r="C12" s="25" t="str">
        <f t="shared" ref="C12:K12" si="8">IF($B11="","",FLOOR($B11/18,1)+IF(MOD($B11,18)&gt;=C$4,1,0))</f>
        <v/>
      </c>
      <c r="D12" s="25" t="str">
        <f t="shared" si="8"/>
        <v/>
      </c>
      <c r="E12" s="25" t="str">
        <f t="shared" si="8"/>
        <v/>
      </c>
      <c r="F12" s="25" t="str">
        <f t="shared" si="8"/>
        <v/>
      </c>
      <c r="G12" s="25" t="str">
        <f t="shared" si="8"/>
        <v/>
      </c>
      <c r="H12" s="25" t="str">
        <f t="shared" si="8"/>
        <v/>
      </c>
      <c r="I12" s="25" t="str">
        <f t="shared" si="8"/>
        <v/>
      </c>
      <c r="J12" s="25" t="str">
        <f t="shared" si="8"/>
        <v/>
      </c>
      <c r="K12" s="25" t="str">
        <f t="shared" si="8"/>
        <v/>
      </c>
      <c r="L12" s="25" t="str">
        <f>IF(COUNT(C12:K12)=0,"",SUM(C12:K12))</f>
        <v/>
      </c>
      <c r="M12" s="25" t="str">
        <f t="shared" ref="M12:U12" si="9">IF($B11="","",FLOOR($B11/18,1)+IF(MOD($B11,18)&gt;=M$4,1,0))</f>
        <v/>
      </c>
      <c r="N12" s="25" t="str">
        <f t="shared" si="9"/>
        <v/>
      </c>
      <c r="O12" s="25" t="str">
        <f t="shared" si="9"/>
        <v/>
      </c>
      <c r="P12" s="25" t="str">
        <f t="shared" si="9"/>
        <v/>
      </c>
      <c r="Q12" s="25" t="str">
        <f t="shared" si="9"/>
        <v/>
      </c>
      <c r="R12" s="25" t="str">
        <f t="shared" si="9"/>
        <v/>
      </c>
      <c r="S12" s="25" t="str">
        <f t="shared" si="9"/>
        <v/>
      </c>
      <c r="T12" s="25" t="str">
        <f t="shared" si="9"/>
        <v/>
      </c>
      <c r="U12" s="25" t="str">
        <f t="shared" si="9"/>
        <v/>
      </c>
      <c r="V12" s="25" t="str">
        <f>IF(COUNT(M12:U12)=0,"",SUM(M12:U12))</f>
        <v/>
      </c>
      <c r="W12" s="25" t="str">
        <f>IF(AND(L12="",V12=""),"",SUM(L12,V12))</f>
        <v/>
      </c>
    </row>
    <row r="13" spans="1:23" ht="15" customHeight="1" x14ac:dyDescent="0.2">
      <c r="A13" s="26" t="s">
        <v>81</v>
      </c>
      <c r="B13" s="23"/>
      <c r="C13" s="25" t="str">
        <f t="shared" ref="C13:K13" si="10">IF(C11="","",MAX(0,2-((C11-C12)-C$3)))</f>
        <v/>
      </c>
      <c r="D13" s="25" t="str">
        <f t="shared" si="10"/>
        <v/>
      </c>
      <c r="E13" s="25" t="str">
        <f t="shared" si="10"/>
        <v/>
      </c>
      <c r="F13" s="25" t="str">
        <f t="shared" si="10"/>
        <v/>
      </c>
      <c r="G13" s="25" t="str">
        <f t="shared" si="10"/>
        <v/>
      </c>
      <c r="H13" s="25" t="str">
        <f t="shared" si="10"/>
        <v/>
      </c>
      <c r="I13" s="25" t="str">
        <f t="shared" si="10"/>
        <v/>
      </c>
      <c r="J13" s="25" t="str">
        <f t="shared" si="10"/>
        <v/>
      </c>
      <c r="K13" s="25" t="str">
        <f t="shared" si="10"/>
        <v/>
      </c>
      <c r="L13" s="25">
        <f>SUM(C13:K13)</f>
        <v>0</v>
      </c>
      <c r="M13" s="25" t="str">
        <f t="shared" ref="M13:U13" si="11">IF(M11="","",MAX(0,2-((M11-M12)-M$3)))</f>
        <v/>
      </c>
      <c r="N13" s="25" t="str">
        <f t="shared" si="11"/>
        <v/>
      </c>
      <c r="O13" s="25" t="str">
        <f t="shared" si="11"/>
        <v/>
      </c>
      <c r="P13" s="25" t="str">
        <f t="shared" si="11"/>
        <v/>
      </c>
      <c r="Q13" s="25" t="str">
        <f t="shared" si="11"/>
        <v/>
      </c>
      <c r="R13" s="25" t="str">
        <f t="shared" si="11"/>
        <v/>
      </c>
      <c r="S13" s="25" t="str">
        <f t="shared" si="11"/>
        <v/>
      </c>
      <c r="T13" s="25" t="str">
        <f t="shared" si="11"/>
        <v/>
      </c>
      <c r="U13" s="25" t="str">
        <f t="shared" si="11"/>
        <v/>
      </c>
      <c r="V13" s="25">
        <f>SUM(M13:U13)</f>
        <v>0</v>
      </c>
      <c r="W13" s="25">
        <f>L13+V13</f>
        <v>0</v>
      </c>
    </row>
    <row r="14" spans="1:23" ht="15" customHeight="1" x14ac:dyDescent="0.2">
      <c r="A14" s="26" t="s">
        <v>82</v>
      </c>
      <c r="B14" s="27"/>
      <c r="C14" s="24"/>
      <c r="D14" s="24"/>
      <c r="E14" s="24"/>
      <c r="F14" s="24"/>
      <c r="G14" s="24"/>
      <c r="H14" s="24"/>
      <c r="I14" s="24"/>
      <c r="J14" s="24"/>
      <c r="K14" s="24"/>
      <c r="L14" s="25" t="str">
        <f>IF(COUNT(C14:K14)=0,"",SUM(C14:K14))</f>
        <v/>
      </c>
      <c r="M14" s="24"/>
      <c r="N14" s="24"/>
      <c r="O14" s="24"/>
      <c r="P14" s="24"/>
      <c r="Q14" s="24"/>
      <c r="R14" s="24"/>
      <c r="S14" s="24"/>
      <c r="T14" s="24"/>
      <c r="U14" s="24"/>
      <c r="V14" s="25" t="str">
        <f>IF(COUNT(M14:U14)=0,"",SUM(M14:U14))</f>
        <v/>
      </c>
      <c r="W14" s="25" t="str">
        <f>IF(AND(L14="",V14=""),"",SUM(L14,V14))</f>
        <v/>
      </c>
    </row>
    <row r="15" spans="1:23" ht="15" customHeight="1" x14ac:dyDescent="0.2">
      <c r="A15" s="26" t="s">
        <v>83</v>
      </c>
      <c r="B15" s="23"/>
      <c r="C15" s="25" t="str">
        <f t="shared" ref="C15:K15" si="12">IF($B14="","",FLOOR($B14/18,1)+IF(MOD($B14,18)&gt;=C$4,1,0))</f>
        <v/>
      </c>
      <c r="D15" s="25" t="str">
        <f t="shared" si="12"/>
        <v/>
      </c>
      <c r="E15" s="25" t="str">
        <f t="shared" si="12"/>
        <v/>
      </c>
      <c r="F15" s="25" t="str">
        <f t="shared" si="12"/>
        <v/>
      </c>
      <c r="G15" s="25" t="str">
        <f t="shared" si="12"/>
        <v/>
      </c>
      <c r="H15" s="25" t="str">
        <f t="shared" si="12"/>
        <v/>
      </c>
      <c r="I15" s="25" t="str">
        <f t="shared" si="12"/>
        <v/>
      </c>
      <c r="J15" s="25" t="str">
        <f t="shared" si="12"/>
        <v/>
      </c>
      <c r="K15" s="25" t="str">
        <f t="shared" si="12"/>
        <v/>
      </c>
      <c r="L15" s="25" t="str">
        <f>IF(COUNT(C15:K15)=0,"",SUM(C15:K15))</f>
        <v/>
      </c>
      <c r="M15" s="25" t="str">
        <f t="shared" ref="M15:U15" si="13">IF($B14="","",FLOOR($B14/18,1)+IF(MOD($B14,18)&gt;=M$4,1,0))</f>
        <v/>
      </c>
      <c r="N15" s="25" t="str">
        <f t="shared" si="13"/>
        <v/>
      </c>
      <c r="O15" s="25" t="str">
        <f t="shared" si="13"/>
        <v/>
      </c>
      <c r="P15" s="25" t="str">
        <f t="shared" si="13"/>
        <v/>
      </c>
      <c r="Q15" s="25" t="str">
        <f t="shared" si="13"/>
        <v/>
      </c>
      <c r="R15" s="25" t="str">
        <f t="shared" si="13"/>
        <v/>
      </c>
      <c r="S15" s="25" t="str">
        <f t="shared" si="13"/>
        <v/>
      </c>
      <c r="T15" s="25" t="str">
        <f t="shared" si="13"/>
        <v/>
      </c>
      <c r="U15" s="25" t="str">
        <f t="shared" si="13"/>
        <v/>
      </c>
      <c r="V15" s="25" t="str">
        <f>IF(COUNT(M15:U15)=0,"",SUM(M15:U15))</f>
        <v/>
      </c>
      <c r="W15" s="25" t="str">
        <f>IF(AND(L15="",V15=""),"",SUM(L15,V15))</f>
        <v/>
      </c>
    </row>
    <row r="16" spans="1:23" ht="15" customHeight="1" x14ac:dyDescent="0.2">
      <c r="A16" s="26" t="s">
        <v>84</v>
      </c>
      <c r="B16" s="23"/>
      <c r="C16" s="25" t="str">
        <f t="shared" ref="C16:K16" si="14">IF(C14="","",MAX(0,2-((C14-C15)-C$3)))</f>
        <v/>
      </c>
      <c r="D16" s="25" t="str">
        <f t="shared" si="14"/>
        <v/>
      </c>
      <c r="E16" s="25" t="str">
        <f t="shared" si="14"/>
        <v/>
      </c>
      <c r="F16" s="25" t="str">
        <f t="shared" si="14"/>
        <v/>
      </c>
      <c r="G16" s="25" t="str">
        <f t="shared" si="14"/>
        <v/>
      </c>
      <c r="H16" s="25" t="str">
        <f t="shared" si="14"/>
        <v/>
      </c>
      <c r="I16" s="25" t="str">
        <f t="shared" si="14"/>
        <v/>
      </c>
      <c r="J16" s="25" t="str">
        <f t="shared" si="14"/>
        <v/>
      </c>
      <c r="K16" s="25" t="str">
        <f t="shared" si="14"/>
        <v/>
      </c>
      <c r="L16" s="25">
        <f>SUM(C16:K16)</f>
        <v>0</v>
      </c>
      <c r="M16" s="25" t="str">
        <f t="shared" ref="M16:U16" si="15">IF(M14="","",MAX(0,2-((M14-M15)-M$3)))</f>
        <v/>
      </c>
      <c r="N16" s="25" t="str">
        <f t="shared" si="15"/>
        <v/>
      </c>
      <c r="O16" s="25" t="str">
        <f t="shared" si="15"/>
        <v/>
      </c>
      <c r="P16" s="25" t="str">
        <f t="shared" si="15"/>
        <v/>
      </c>
      <c r="Q16" s="25" t="str">
        <f t="shared" si="15"/>
        <v/>
      </c>
      <c r="R16" s="25" t="str">
        <f t="shared" si="15"/>
        <v/>
      </c>
      <c r="S16" s="25" t="str">
        <f t="shared" si="15"/>
        <v/>
      </c>
      <c r="T16" s="25" t="str">
        <f t="shared" si="15"/>
        <v/>
      </c>
      <c r="U16" s="25" t="str">
        <f t="shared" si="15"/>
        <v/>
      </c>
      <c r="V16" s="25">
        <f>SUM(M16:U16)</f>
        <v>0</v>
      </c>
      <c r="W16" s="25">
        <f>L16+V16</f>
        <v>0</v>
      </c>
    </row>
    <row r="17" spans="1:23" ht="15" customHeight="1" x14ac:dyDescent="0.2">
      <c r="A17" s="26" t="s">
        <v>85</v>
      </c>
      <c r="B17" s="27"/>
      <c r="C17" s="24"/>
      <c r="D17" s="24"/>
      <c r="E17" s="24"/>
      <c r="F17" s="24"/>
      <c r="G17" s="24"/>
      <c r="H17" s="24"/>
      <c r="I17" s="24"/>
      <c r="J17" s="24"/>
      <c r="K17" s="24"/>
      <c r="L17" s="25" t="str">
        <f>IF(COUNT(C17:K17)=0,"",SUM(C17:K17))</f>
        <v/>
      </c>
      <c r="M17" s="24"/>
      <c r="N17" s="24"/>
      <c r="O17" s="24"/>
      <c r="P17" s="24"/>
      <c r="Q17" s="24"/>
      <c r="R17" s="24"/>
      <c r="S17" s="24"/>
      <c r="T17" s="24"/>
      <c r="U17" s="24"/>
      <c r="V17" s="25" t="str">
        <f>IF(COUNT(M17:U17)=0,"",SUM(M17:U17))</f>
        <v/>
      </c>
      <c r="W17" s="25" t="str">
        <f>IF(AND(L17="",V17=""),"",SUM(L17,V17))</f>
        <v/>
      </c>
    </row>
    <row r="18" spans="1:23" ht="15" customHeight="1" x14ac:dyDescent="0.2">
      <c r="A18" s="26" t="s">
        <v>86</v>
      </c>
      <c r="B18" s="23"/>
      <c r="C18" s="25" t="str">
        <f t="shared" ref="C18:K18" si="16">IF($B17="","",FLOOR($B17/18,1)+IF(MOD($B17,18)&gt;=C$4,1,0))</f>
        <v/>
      </c>
      <c r="D18" s="25" t="str">
        <f t="shared" si="16"/>
        <v/>
      </c>
      <c r="E18" s="25" t="str">
        <f t="shared" si="16"/>
        <v/>
      </c>
      <c r="F18" s="25" t="str">
        <f t="shared" si="16"/>
        <v/>
      </c>
      <c r="G18" s="25" t="str">
        <f t="shared" si="16"/>
        <v/>
      </c>
      <c r="H18" s="25" t="str">
        <f t="shared" si="16"/>
        <v/>
      </c>
      <c r="I18" s="25" t="str">
        <f t="shared" si="16"/>
        <v/>
      </c>
      <c r="J18" s="25" t="str">
        <f t="shared" si="16"/>
        <v/>
      </c>
      <c r="K18" s="25" t="str">
        <f t="shared" si="16"/>
        <v/>
      </c>
      <c r="L18" s="25" t="str">
        <f>IF(COUNT(C18:K18)=0,"",SUM(C18:K18))</f>
        <v/>
      </c>
      <c r="M18" s="25" t="str">
        <f t="shared" ref="M18:U18" si="17">IF($B17="","",FLOOR($B17/18,1)+IF(MOD($B17,18)&gt;=M$4,1,0))</f>
        <v/>
      </c>
      <c r="N18" s="25" t="str">
        <f t="shared" si="17"/>
        <v/>
      </c>
      <c r="O18" s="25" t="str">
        <f t="shared" si="17"/>
        <v/>
      </c>
      <c r="P18" s="25" t="str">
        <f t="shared" si="17"/>
        <v/>
      </c>
      <c r="Q18" s="25" t="str">
        <f t="shared" si="17"/>
        <v/>
      </c>
      <c r="R18" s="25" t="str">
        <f t="shared" si="17"/>
        <v/>
      </c>
      <c r="S18" s="25" t="str">
        <f t="shared" si="17"/>
        <v/>
      </c>
      <c r="T18" s="25" t="str">
        <f t="shared" si="17"/>
        <v/>
      </c>
      <c r="U18" s="25" t="str">
        <f t="shared" si="17"/>
        <v/>
      </c>
      <c r="V18" s="25" t="str">
        <f>IF(COUNT(M18:U18)=0,"",SUM(M18:U18))</f>
        <v/>
      </c>
      <c r="W18" s="25" t="str">
        <f>IF(AND(L18="",V18=""),"",SUM(L18,V18))</f>
        <v/>
      </c>
    </row>
    <row r="19" spans="1:23" ht="15" customHeight="1" x14ac:dyDescent="0.2">
      <c r="A19" s="26" t="s">
        <v>87</v>
      </c>
      <c r="B19" s="23"/>
      <c r="C19" s="25" t="str">
        <f t="shared" ref="C19:K19" si="18">IF(C17="","",MAX(0,2-((C17-C18)-C$3)))</f>
        <v/>
      </c>
      <c r="D19" s="25" t="str">
        <f t="shared" si="18"/>
        <v/>
      </c>
      <c r="E19" s="25" t="str">
        <f t="shared" si="18"/>
        <v/>
      </c>
      <c r="F19" s="25" t="str">
        <f t="shared" si="18"/>
        <v/>
      </c>
      <c r="G19" s="25" t="str">
        <f t="shared" si="18"/>
        <v/>
      </c>
      <c r="H19" s="25" t="str">
        <f t="shared" si="18"/>
        <v/>
      </c>
      <c r="I19" s="25" t="str">
        <f t="shared" si="18"/>
        <v/>
      </c>
      <c r="J19" s="25" t="str">
        <f t="shared" si="18"/>
        <v/>
      </c>
      <c r="K19" s="25" t="str">
        <f t="shared" si="18"/>
        <v/>
      </c>
      <c r="L19" s="25">
        <f>SUM(C19:K19)</f>
        <v>0</v>
      </c>
      <c r="M19" s="25" t="str">
        <f t="shared" ref="M19:U19" si="19">IF(M17="","",MAX(0,2-((M17-M18)-M$3)))</f>
        <v/>
      </c>
      <c r="N19" s="25" t="str">
        <f t="shared" si="19"/>
        <v/>
      </c>
      <c r="O19" s="25" t="str">
        <f t="shared" si="19"/>
        <v/>
      </c>
      <c r="P19" s="25" t="str">
        <f t="shared" si="19"/>
        <v/>
      </c>
      <c r="Q19" s="25" t="str">
        <f t="shared" si="19"/>
        <v/>
      </c>
      <c r="R19" s="25" t="str">
        <f t="shared" si="19"/>
        <v/>
      </c>
      <c r="S19" s="25" t="str">
        <f t="shared" si="19"/>
        <v/>
      </c>
      <c r="T19" s="25" t="str">
        <f t="shared" si="19"/>
        <v/>
      </c>
      <c r="U19" s="25" t="str">
        <f t="shared" si="19"/>
        <v/>
      </c>
      <c r="V19" s="25">
        <f>SUM(M19:U19)</f>
        <v>0</v>
      </c>
      <c r="W19" s="25">
        <f>L19+V19</f>
        <v>0</v>
      </c>
    </row>
    <row r="20" spans="1:23" ht="15" customHeight="1" x14ac:dyDescent="0.2">
      <c r="A20" s="26" t="s">
        <v>88</v>
      </c>
      <c r="B20" s="27"/>
      <c r="C20" s="24"/>
      <c r="D20" s="24"/>
      <c r="E20" s="24"/>
      <c r="F20" s="24"/>
      <c r="G20" s="24"/>
      <c r="H20" s="24"/>
      <c r="I20" s="24"/>
      <c r="J20" s="24"/>
      <c r="K20" s="24"/>
      <c r="L20" s="25" t="str">
        <f>IF(COUNT(C20:K20)=0,"",SUM(C20:K20))</f>
        <v/>
      </c>
      <c r="M20" s="24"/>
      <c r="N20" s="24"/>
      <c r="O20" s="24"/>
      <c r="P20" s="24"/>
      <c r="Q20" s="24"/>
      <c r="R20" s="24"/>
      <c r="S20" s="24"/>
      <c r="T20" s="24"/>
      <c r="U20" s="24"/>
      <c r="V20" s="25" t="str">
        <f>IF(COUNT(M20:U20)=0,"",SUM(M20:U20))</f>
        <v/>
      </c>
      <c r="W20" s="25" t="str">
        <f>IF(AND(L20="",V20=""),"",SUM(L20,V20))</f>
        <v/>
      </c>
    </row>
    <row r="21" spans="1:23" ht="15" customHeight="1" x14ac:dyDescent="0.2">
      <c r="A21" s="26" t="s">
        <v>89</v>
      </c>
      <c r="B21" s="23"/>
      <c r="C21" s="25" t="str">
        <f t="shared" ref="C21:K21" si="20">IF($B20="","",FLOOR($B20/18,1)+IF(MOD($B20,18)&gt;=C$4,1,0))</f>
        <v/>
      </c>
      <c r="D21" s="25" t="str">
        <f t="shared" si="20"/>
        <v/>
      </c>
      <c r="E21" s="25" t="str">
        <f t="shared" si="20"/>
        <v/>
      </c>
      <c r="F21" s="25" t="str">
        <f t="shared" si="20"/>
        <v/>
      </c>
      <c r="G21" s="25" t="str">
        <f t="shared" si="20"/>
        <v/>
      </c>
      <c r="H21" s="25" t="str">
        <f t="shared" si="20"/>
        <v/>
      </c>
      <c r="I21" s="25" t="str">
        <f t="shared" si="20"/>
        <v/>
      </c>
      <c r="J21" s="25" t="str">
        <f t="shared" si="20"/>
        <v/>
      </c>
      <c r="K21" s="25" t="str">
        <f t="shared" si="20"/>
        <v/>
      </c>
      <c r="L21" s="25" t="str">
        <f>IF(COUNT(C21:K21)=0,"",SUM(C21:K21))</f>
        <v/>
      </c>
      <c r="M21" s="25" t="str">
        <f t="shared" ref="M21:U21" si="21">IF($B20="","",FLOOR($B20/18,1)+IF(MOD($B20,18)&gt;=M$4,1,0))</f>
        <v/>
      </c>
      <c r="N21" s="25" t="str">
        <f t="shared" si="21"/>
        <v/>
      </c>
      <c r="O21" s="25" t="str">
        <f t="shared" si="21"/>
        <v/>
      </c>
      <c r="P21" s="25" t="str">
        <f t="shared" si="21"/>
        <v/>
      </c>
      <c r="Q21" s="25" t="str">
        <f t="shared" si="21"/>
        <v/>
      </c>
      <c r="R21" s="25" t="str">
        <f t="shared" si="21"/>
        <v/>
      </c>
      <c r="S21" s="25" t="str">
        <f t="shared" si="21"/>
        <v/>
      </c>
      <c r="T21" s="25" t="str">
        <f t="shared" si="21"/>
        <v/>
      </c>
      <c r="U21" s="25" t="str">
        <f t="shared" si="21"/>
        <v/>
      </c>
      <c r="V21" s="25" t="str">
        <f>IF(COUNT(M21:U21)=0,"",SUM(M21:U21))</f>
        <v/>
      </c>
      <c r="W21" s="25" t="str">
        <f>IF(AND(L21="",V21=""),"",SUM(L21,V21))</f>
        <v/>
      </c>
    </row>
    <row r="22" spans="1:23" ht="15" customHeight="1" x14ac:dyDescent="0.2">
      <c r="A22" s="26" t="s">
        <v>90</v>
      </c>
      <c r="B22" s="23"/>
      <c r="C22" s="25" t="str">
        <f t="shared" ref="C22:K22" si="22">IF(C20="","",MAX(0,2-((C20-C21)-C$3)))</f>
        <v/>
      </c>
      <c r="D22" s="25" t="str">
        <f t="shared" si="22"/>
        <v/>
      </c>
      <c r="E22" s="25" t="str">
        <f t="shared" si="22"/>
        <v/>
      </c>
      <c r="F22" s="25" t="str">
        <f t="shared" si="22"/>
        <v/>
      </c>
      <c r="G22" s="25" t="str">
        <f t="shared" si="22"/>
        <v/>
      </c>
      <c r="H22" s="25" t="str">
        <f t="shared" si="22"/>
        <v/>
      </c>
      <c r="I22" s="25" t="str">
        <f t="shared" si="22"/>
        <v/>
      </c>
      <c r="J22" s="25" t="str">
        <f t="shared" si="22"/>
        <v/>
      </c>
      <c r="K22" s="25" t="str">
        <f t="shared" si="22"/>
        <v/>
      </c>
      <c r="L22" s="25">
        <f>SUM(C22:K22)</f>
        <v>0</v>
      </c>
      <c r="M22" s="25" t="str">
        <f t="shared" ref="M22:U22" si="23">IF(M20="","",MAX(0,2-((M20-M21)-M$3)))</f>
        <v/>
      </c>
      <c r="N22" s="25" t="str">
        <f t="shared" si="23"/>
        <v/>
      </c>
      <c r="O22" s="25" t="str">
        <f t="shared" si="23"/>
        <v/>
      </c>
      <c r="P22" s="25" t="str">
        <f t="shared" si="23"/>
        <v/>
      </c>
      <c r="Q22" s="25" t="str">
        <f t="shared" si="23"/>
        <v/>
      </c>
      <c r="R22" s="25" t="str">
        <f t="shared" si="23"/>
        <v/>
      </c>
      <c r="S22" s="25" t="str">
        <f t="shared" si="23"/>
        <v/>
      </c>
      <c r="T22" s="25" t="str">
        <f t="shared" si="23"/>
        <v/>
      </c>
      <c r="U22" s="25" t="str">
        <f t="shared" si="23"/>
        <v/>
      </c>
      <c r="V22" s="25">
        <f>SUM(M22:U22)</f>
        <v>0</v>
      </c>
      <c r="W22" s="25">
        <f>L22+V22</f>
        <v>0</v>
      </c>
    </row>
    <row r="23" spans="1:23" ht="15" customHeight="1" x14ac:dyDescent="0.2">
      <c r="A23" s="26" t="s">
        <v>91</v>
      </c>
      <c r="B23" s="27"/>
      <c r="C23" s="24"/>
      <c r="D23" s="24"/>
      <c r="E23" s="24"/>
      <c r="F23" s="24"/>
      <c r="G23" s="24"/>
      <c r="H23" s="24"/>
      <c r="I23" s="24"/>
      <c r="J23" s="24"/>
      <c r="K23" s="24"/>
      <c r="L23" s="25" t="str">
        <f>IF(COUNT(C23:K23)=0,"",SUM(C23:K23))</f>
        <v/>
      </c>
      <c r="M23" s="24"/>
      <c r="N23" s="24"/>
      <c r="O23" s="24"/>
      <c r="P23" s="24"/>
      <c r="Q23" s="24"/>
      <c r="R23" s="24"/>
      <c r="S23" s="24"/>
      <c r="T23" s="24"/>
      <c r="U23" s="24"/>
      <c r="V23" s="25" t="str">
        <f>IF(COUNT(M23:U23)=0,"",SUM(M23:U23))</f>
        <v/>
      </c>
      <c r="W23" s="25" t="str">
        <f>IF(AND(L23="",V23=""),"",SUM(L23,V23))</f>
        <v/>
      </c>
    </row>
    <row r="24" spans="1:23" ht="15" customHeight="1" x14ac:dyDescent="0.2">
      <c r="A24" s="26" t="s">
        <v>92</v>
      </c>
      <c r="B24" s="23"/>
      <c r="C24" s="25" t="str">
        <f t="shared" ref="C24:K24" si="24">IF($B23="","",FLOOR($B23/18,1)+IF(MOD($B23,18)&gt;=C$4,1,0))</f>
        <v/>
      </c>
      <c r="D24" s="25" t="str">
        <f t="shared" si="24"/>
        <v/>
      </c>
      <c r="E24" s="25" t="str">
        <f t="shared" si="24"/>
        <v/>
      </c>
      <c r="F24" s="25" t="str">
        <f t="shared" si="24"/>
        <v/>
      </c>
      <c r="G24" s="25" t="str">
        <f t="shared" si="24"/>
        <v/>
      </c>
      <c r="H24" s="25" t="str">
        <f t="shared" si="24"/>
        <v/>
      </c>
      <c r="I24" s="25" t="str">
        <f t="shared" si="24"/>
        <v/>
      </c>
      <c r="J24" s="25" t="str">
        <f t="shared" si="24"/>
        <v/>
      </c>
      <c r="K24" s="25" t="str">
        <f t="shared" si="24"/>
        <v/>
      </c>
      <c r="L24" s="25" t="str">
        <f>IF(COUNT(C24:K24)=0,"",SUM(C24:K24))</f>
        <v/>
      </c>
      <c r="M24" s="25" t="str">
        <f t="shared" ref="M24:U24" si="25">IF($B23="","",FLOOR($B23/18,1)+IF(MOD($B23,18)&gt;=M$4,1,0))</f>
        <v/>
      </c>
      <c r="N24" s="25" t="str">
        <f t="shared" si="25"/>
        <v/>
      </c>
      <c r="O24" s="25" t="str">
        <f t="shared" si="25"/>
        <v/>
      </c>
      <c r="P24" s="25" t="str">
        <f t="shared" si="25"/>
        <v/>
      </c>
      <c r="Q24" s="25" t="str">
        <f t="shared" si="25"/>
        <v/>
      </c>
      <c r="R24" s="25" t="str">
        <f t="shared" si="25"/>
        <v/>
      </c>
      <c r="S24" s="25" t="str">
        <f t="shared" si="25"/>
        <v/>
      </c>
      <c r="T24" s="25" t="str">
        <f t="shared" si="25"/>
        <v/>
      </c>
      <c r="U24" s="25" t="str">
        <f t="shared" si="25"/>
        <v/>
      </c>
      <c r="V24" s="25" t="str">
        <f>IF(COUNT(M24:U24)=0,"",SUM(M24:U24))</f>
        <v/>
      </c>
      <c r="W24" s="25" t="str">
        <f>IF(AND(L24="",V24=""),"",SUM(L24,V24))</f>
        <v/>
      </c>
    </row>
    <row r="25" spans="1:23" ht="15" customHeight="1" x14ac:dyDescent="0.2">
      <c r="A25" s="26" t="s">
        <v>93</v>
      </c>
      <c r="B25" s="23"/>
      <c r="C25" s="25" t="str">
        <f t="shared" ref="C25:K25" si="26">IF(C23="","",MAX(0,2-((C23-C24)-C$3)))</f>
        <v/>
      </c>
      <c r="D25" s="25" t="str">
        <f t="shared" si="26"/>
        <v/>
      </c>
      <c r="E25" s="25" t="str">
        <f t="shared" si="26"/>
        <v/>
      </c>
      <c r="F25" s="25" t="str">
        <f t="shared" si="26"/>
        <v/>
      </c>
      <c r="G25" s="25" t="str">
        <f t="shared" si="26"/>
        <v/>
      </c>
      <c r="H25" s="25" t="str">
        <f t="shared" si="26"/>
        <v/>
      </c>
      <c r="I25" s="25" t="str">
        <f t="shared" si="26"/>
        <v/>
      </c>
      <c r="J25" s="25" t="str">
        <f t="shared" si="26"/>
        <v/>
      </c>
      <c r="K25" s="25" t="str">
        <f t="shared" si="26"/>
        <v/>
      </c>
      <c r="L25" s="25">
        <f>SUM(C25:K25)</f>
        <v>0</v>
      </c>
      <c r="M25" s="25" t="str">
        <f t="shared" ref="M25:U25" si="27">IF(M23="","",MAX(0,2-((M23-M24)-M$3)))</f>
        <v/>
      </c>
      <c r="N25" s="25" t="str">
        <f t="shared" si="27"/>
        <v/>
      </c>
      <c r="O25" s="25" t="str">
        <f t="shared" si="27"/>
        <v/>
      </c>
      <c r="P25" s="25" t="str">
        <f t="shared" si="27"/>
        <v/>
      </c>
      <c r="Q25" s="25" t="str">
        <f t="shared" si="27"/>
        <v/>
      </c>
      <c r="R25" s="25" t="str">
        <f t="shared" si="27"/>
        <v/>
      </c>
      <c r="S25" s="25" t="str">
        <f t="shared" si="27"/>
        <v/>
      </c>
      <c r="T25" s="25" t="str">
        <f t="shared" si="27"/>
        <v/>
      </c>
      <c r="U25" s="25" t="str">
        <f t="shared" si="27"/>
        <v/>
      </c>
      <c r="V25" s="25">
        <f>SUM(M25:U25)</f>
        <v>0</v>
      </c>
      <c r="W25" s="25">
        <f>L25+V25</f>
        <v>0</v>
      </c>
    </row>
    <row r="26" spans="1:23" ht="15" customHeight="1" x14ac:dyDescent="0.2">
      <c r="A26" s="26" t="s">
        <v>94</v>
      </c>
      <c r="B26" s="27"/>
      <c r="C26" s="24"/>
      <c r="D26" s="24"/>
      <c r="E26" s="24"/>
      <c r="F26" s="24"/>
      <c r="G26" s="24"/>
      <c r="H26" s="24"/>
      <c r="I26" s="24"/>
      <c r="J26" s="24"/>
      <c r="K26" s="24"/>
      <c r="L26" s="25" t="str">
        <f>IF(COUNT(C26:K26)=0,"",SUM(C26:K26))</f>
        <v/>
      </c>
      <c r="M26" s="24"/>
      <c r="N26" s="24"/>
      <c r="O26" s="24"/>
      <c r="P26" s="24"/>
      <c r="Q26" s="24"/>
      <c r="R26" s="24"/>
      <c r="S26" s="24"/>
      <c r="T26" s="24"/>
      <c r="U26" s="24"/>
      <c r="V26" s="25" t="str">
        <f>IF(COUNT(M26:U26)=0,"",SUM(M26:U26))</f>
        <v/>
      </c>
      <c r="W26" s="25" t="str">
        <f>IF(AND(L26="",V26=""),"",SUM(L26,V26))</f>
        <v/>
      </c>
    </row>
    <row r="27" spans="1:23" ht="15" customHeight="1" x14ac:dyDescent="0.2">
      <c r="A27" s="26" t="s">
        <v>95</v>
      </c>
      <c r="B27" s="23"/>
      <c r="C27" s="25" t="str">
        <f t="shared" ref="C27:K27" si="28">IF($B26="","",FLOOR($B26/18,1)+IF(MOD($B26,18)&gt;=C$4,1,0))</f>
        <v/>
      </c>
      <c r="D27" s="25" t="str">
        <f t="shared" si="28"/>
        <v/>
      </c>
      <c r="E27" s="25" t="str">
        <f t="shared" si="28"/>
        <v/>
      </c>
      <c r="F27" s="25" t="str">
        <f t="shared" si="28"/>
        <v/>
      </c>
      <c r="G27" s="25" t="str">
        <f t="shared" si="28"/>
        <v/>
      </c>
      <c r="H27" s="25" t="str">
        <f t="shared" si="28"/>
        <v/>
      </c>
      <c r="I27" s="25" t="str">
        <f t="shared" si="28"/>
        <v/>
      </c>
      <c r="J27" s="25" t="str">
        <f t="shared" si="28"/>
        <v/>
      </c>
      <c r="K27" s="25" t="str">
        <f t="shared" si="28"/>
        <v/>
      </c>
      <c r="L27" s="25" t="str">
        <f>IF(COUNT(C27:K27)=0,"",SUM(C27:K27))</f>
        <v/>
      </c>
      <c r="M27" s="25" t="str">
        <f t="shared" ref="M27:U27" si="29">IF($B26="","",FLOOR($B26/18,1)+IF(MOD($B26,18)&gt;=M$4,1,0))</f>
        <v/>
      </c>
      <c r="N27" s="25" t="str">
        <f t="shared" si="29"/>
        <v/>
      </c>
      <c r="O27" s="25" t="str">
        <f t="shared" si="29"/>
        <v/>
      </c>
      <c r="P27" s="25" t="str">
        <f t="shared" si="29"/>
        <v/>
      </c>
      <c r="Q27" s="25" t="str">
        <f t="shared" si="29"/>
        <v/>
      </c>
      <c r="R27" s="25" t="str">
        <f t="shared" si="29"/>
        <v/>
      </c>
      <c r="S27" s="25" t="str">
        <f t="shared" si="29"/>
        <v/>
      </c>
      <c r="T27" s="25" t="str">
        <f t="shared" si="29"/>
        <v/>
      </c>
      <c r="U27" s="25" t="str">
        <f t="shared" si="29"/>
        <v/>
      </c>
      <c r="V27" s="25" t="str">
        <f>IF(COUNT(M27:U27)=0,"",SUM(M27:U27))</f>
        <v/>
      </c>
      <c r="W27" s="25" t="str">
        <f>IF(AND(L27="",V27=""),"",SUM(L27,V27))</f>
        <v/>
      </c>
    </row>
    <row r="28" spans="1:23" ht="15" customHeight="1" x14ac:dyDescent="0.2">
      <c r="A28" s="26" t="s">
        <v>96</v>
      </c>
      <c r="B28" s="23"/>
      <c r="C28" s="25" t="str">
        <f t="shared" ref="C28:K28" si="30">IF(C26="","",MAX(0,2-((C26-C27)-C$3)))</f>
        <v/>
      </c>
      <c r="D28" s="25" t="str">
        <f t="shared" si="30"/>
        <v/>
      </c>
      <c r="E28" s="25" t="str">
        <f t="shared" si="30"/>
        <v/>
      </c>
      <c r="F28" s="25" t="str">
        <f t="shared" si="30"/>
        <v/>
      </c>
      <c r="G28" s="25" t="str">
        <f t="shared" si="30"/>
        <v/>
      </c>
      <c r="H28" s="25" t="str">
        <f t="shared" si="30"/>
        <v/>
      </c>
      <c r="I28" s="25" t="str">
        <f t="shared" si="30"/>
        <v/>
      </c>
      <c r="J28" s="25" t="str">
        <f t="shared" si="30"/>
        <v/>
      </c>
      <c r="K28" s="25" t="str">
        <f t="shared" si="30"/>
        <v/>
      </c>
      <c r="L28" s="25">
        <f>SUM(C28:K28)</f>
        <v>0</v>
      </c>
      <c r="M28" s="25" t="str">
        <f t="shared" ref="M28:U28" si="31">IF(M26="","",MAX(0,2-((M26-M27)-M$3)))</f>
        <v/>
      </c>
      <c r="N28" s="25" t="str">
        <f t="shared" si="31"/>
        <v/>
      </c>
      <c r="O28" s="25" t="str">
        <f t="shared" si="31"/>
        <v/>
      </c>
      <c r="P28" s="25" t="str">
        <f t="shared" si="31"/>
        <v/>
      </c>
      <c r="Q28" s="25" t="str">
        <f t="shared" si="31"/>
        <v/>
      </c>
      <c r="R28" s="25" t="str">
        <f t="shared" si="31"/>
        <v/>
      </c>
      <c r="S28" s="25" t="str">
        <f t="shared" si="31"/>
        <v/>
      </c>
      <c r="T28" s="25" t="str">
        <f t="shared" si="31"/>
        <v/>
      </c>
      <c r="U28" s="25" t="str">
        <f t="shared" si="31"/>
        <v/>
      </c>
      <c r="V28" s="25">
        <f>SUM(M28:U28)</f>
        <v>0</v>
      </c>
      <c r="W28" s="25">
        <f>L28+V28</f>
        <v>0</v>
      </c>
    </row>
    <row r="29" spans="1:23" ht="15" customHeight="1" x14ac:dyDescent="0.2">
      <c r="A29" s="23"/>
      <c r="B29" s="23"/>
      <c r="C29" s="23"/>
      <c r="D29" s="23"/>
      <c r="E29" s="23"/>
      <c r="F29" s="23"/>
      <c r="G29" s="23"/>
      <c r="H29" s="23"/>
      <c r="I29" s="23"/>
      <c r="J29" s="23"/>
      <c r="K29" s="23"/>
      <c r="L29" s="23"/>
      <c r="M29" s="23"/>
      <c r="N29" s="23"/>
      <c r="O29" s="23"/>
      <c r="P29" s="23"/>
      <c r="Q29" s="23"/>
      <c r="R29" s="23"/>
      <c r="S29" s="23"/>
      <c r="T29" s="23"/>
      <c r="U29" s="23"/>
      <c r="V29" s="23"/>
      <c r="W29" s="23"/>
    </row>
    <row r="30" spans="1:23" ht="15" customHeight="1" x14ac:dyDescent="0.2">
      <c r="A30" s="1" t="s">
        <v>97</v>
      </c>
      <c r="B30" s="1"/>
      <c r="C30" s="1"/>
      <c r="D30" s="1"/>
      <c r="E30" s="1"/>
      <c r="F30" s="1"/>
      <c r="G30" s="1"/>
      <c r="H30" s="1"/>
      <c r="I30" s="1"/>
      <c r="J30" s="1"/>
      <c r="K30" s="1"/>
      <c r="L30" s="1"/>
      <c r="M30" s="1"/>
      <c r="N30" s="1"/>
      <c r="O30" s="1"/>
      <c r="P30" s="1"/>
      <c r="Q30" s="1"/>
      <c r="R30" s="1"/>
      <c r="S30" s="1"/>
      <c r="T30" s="1"/>
      <c r="U30" s="1"/>
      <c r="V30" s="1"/>
      <c r="W30" s="1"/>
    </row>
  </sheetData>
  <mergeCells count="2">
    <mergeCell ref="A1:W1"/>
    <mergeCell ref="A30:W3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30"/>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baseColWidth="10" defaultColWidth="8.6640625" defaultRowHeight="15" x14ac:dyDescent="0.2"/>
  <cols>
    <col min="1" max="1" width="20" customWidth="1"/>
    <col min="2" max="2" width="7" customWidth="1"/>
    <col min="3" max="20" width="6.5" customWidth="1"/>
    <col min="21" max="21" width="7" customWidth="1"/>
    <col min="23" max="23" width="8" customWidth="1"/>
  </cols>
  <sheetData>
    <row r="1" spans="1:23" ht="24" customHeight="1" x14ac:dyDescent="0.2">
      <c r="A1" s="2" t="s">
        <v>100</v>
      </c>
      <c r="B1" s="2"/>
      <c r="C1" s="2"/>
      <c r="D1" s="2"/>
      <c r="E1" s="2"/>
      <c r="F1" s="2"/>
      <c r="G1" s="2"/>
      <c r="H1" s="2"/>
      <c r="I1" s="2"/>
      <c r="J1" s="2"/>
      <c r="K1" s="2"/>
      <c r="L1" s="2"/>
      <c r="M1" s="2"/>
      <c r="N1" s="2"/>
      <c r="O1" s="2"/>
      <c r="P1" s="2"/>
      <c r="Q1" s="2"/>
      <c r="R1" s="2"/>
      <c r="S1" s="2"/>
      <c r="T1" s="2"/>
      <c r="U1" s="2"/>
      <c r="V1" s="2"/>
      <c r="W1" s="2"/>
    </row>
    <row r="2" spans="1:23" ht="15" customHeight="1" x14ac:dyDescent="0.2">
      <c r="A2" s="14" t="s">
        <v>66</v>
      </c>
      <c r="B2" s="14" t="s">
        <v>67</v>
      </c>
      <c r="C2" s="14">
        <v>1</v>
      </c>
      <c r="D2" s="14">
        <v>2</v>
      </c>
      <c r="E2" s="14">
        <v>3</v>
      </c>
      <c r="F2" s="14">
        <v>4</v>
      </c>
      <c r="G2" s="14">
        <v>5</v>
      </c>
      <c r="H2" s="14">
        <v>6</v>
      </c>
      <c r="I2" s="14">
        <v>7</v>
      </c>
      <c r="J2" s="14">
        <v>8</v>
      </c>
      <c r="K2" s="14">
        <v>9</v>
      </c>
      <c r="L2" s="14" t="s">
        <v>68</v>
      </c>
      <c r="M2" s="14">
        <v>10</v>
      </c>
      <c r="N2" s="14">
        <v>11</v>
      </c>
      <c r="O2" s="14">
        <v>12</v>
      </c>
      <c r="P2" s="14">
        <v>13</v>
      </c>
      <c r="Q2" s="14">
        <v>14</v>
      </c>
      <c r="R2" s="14">
        <v>15</v>
      </c>
      <c r="S2" s="14">
        <v>16</v>
      </c>
      <c r="T2" s="14">
        <v>17</v>
      </c>
      <c r="U2" s="14">
        <v>18</v>
      </c>
      <c r="V2" s="14" t="s">
        <v>69</v>
      </c>
      <c r="W2" s="14" t="s">
        <v>70</v>
      </c>
    </row>
    <row r="3" spans="1:23" ht="15" customHeight="1" x14ac:dyDescent="0.2">
      <c r="A3" s="22" t="s">
        <v>71</v>
      </c>
      <c r="B3" s="23"/>
      <c r="C3" s="24"/>
      <c r="D3" s="24"/>
      <c r="E3" s="24"/>
      <c r="F3" s="24"/>
      <c r="G3" s="24"/>
      <c r="H3" s="24"/>
      <c r="I3" s="24"/>
      <c r="J3" s="24"/>
      <c r="K3" s="24"/>
      <c r="L3" s="25">
        <f>SUM(C3:K3)</f>
        <v>0</v>
      </c>
      <c r="M3" s="24"/>
      <c r="N3" s="24"/>
      <c r="O3" s="24"/>
      <c r="P3" s="24"/>
      <c r="Q3" s="24"/>
      <c r="R3" s="24"/>
      <c r="S3" s="24"/>
      <c r="T3" s="24"/>
      <c r="U3" s="24"/>
      <c r="V3" s="25">
        <f>SUM(M3:U3)</f>
        <v>0</v>
      </c>
      <c r="W3" s="25">
        <f>L3+V3</f>
        <v>0</v>
      </c>
    </row>
    <row r="4" spans="1:23" ht="15" customHeight="1" x14ac:dyDescent="0.2">
      <c r="A4" s="22" t="s">
        <v>72</v>
      </c>
      <c r="B4" s="23"/>
      <c r="C4" s="24"/>
      <c r="D4" s="24"/>
      <c r="E4" s="24"/>
      <c r="F4" s="24"/>
      <c r="G4" s="24"/>
      <c r="H4" s="24"/>
      <c r="I4" s="24"/>
      <c r="J4" s="24"/>
      <c r="K4" s="24"/>
      <c r="L4" s="23"/>
      <c r="M4" s="24"/>
      <c r="N4" s="24"/>
      <c r="O4" s="24"/>
      <c r="P4" s="24"/>
      <c r="Q4" s="24"/>
      <c r="R4" s="24"/>
      <c r="S4" s="24"/>
      <c r="T4" s="24"/>
      <c r="U4" s="24"/>
      <c r="V4" s="23"/>
      <c r="W4" s="23"/>
    </row>
    <row r="5" spans="1:23" ht="15" customHeight="1" x14ac:dyDescent="0.2">
      <c r="A5" s="26" t="s">
        <v>73</v>
      </c>
      <c r="B5" s="27">
        <f>'Course Handicaps'!I4</f>
        <v>18</v>
      </c>
      <c r="C5" s="24"/>
      <c r="D5" s="24"/>
      <c r="E5" s="24"/>
      <c r="F5" s="24"/>
      <c r="G5" s="24"/>
      <c r="H5" s="24"/>
      <c r="I5" s="24"/>
      <c r="J5" s="24"/>
      <c r="K5" s="24"/>
      <c r="L5" s="25" t="str">
        <f>IF(COUNT(C5:K5)=0,"",SUM(C5:K5))</f>
        <v/>
      </c>
      <c r="M5" s="24"/>
      <c r="N5" s="24"/>
      <c r="O5" s="24"/>
      <c r="P5" s="24"/>
      <c r="Q5" s="24"/>
      <c r="R5" s="24"/>
      <c r="S5" s="24"/>
      <c r="T5" s="24"/>
      <c r="U5" s="24"/>
      <c r="V5" s="25" t="str">
        <f>IF(COUNT(M5:U5)=0,"",SUM(M5:U5))</f>
        <v/>
      </c>
      <c r="W5" s="25" t="str">
        <f>IF(AND(L5="",V5=""),"",SUM(L5,V5))</f>
        <v/>
      </c>
    </row>
    <row r="6" spans="1:23" ht="15" customHeight="1" x14ac:dyDescent="0.2">
      <c r="A6" s="26" t="s">
        <v>74</v>
      </c>
      <c r="B6" s="23"/>
      <c r="C6" s="25">
        <f t="shared" ref="C6:K6" si="0">IF($B5="","",FLOOR($B5/18,1)+IF(MOD($B5,18)&gt;=C$4,1,0))</f>
        <v>2</v>
      </c>
      <c r="D6" s="25">
        <f t="shared" si="0"/>
        <v>2</v>
      </c>
      <c r="E6" s="25">
        <f t="shared" si="0"/>
        <v>2</v>
      </c>
      <c r="F6" s="25">
        <f t="shared" si="0"/>
        <v>2</v>
      </c>
      <c r="G6" s="25">
        <f t="shared" si="0"/>
        <v>2</v>
      </c>
      <c r="H6" s="25">
        <f t="shared" si="0"/>
        <v>2</v>
      </c>
      <c r="I6" s="25">
        <f t="shared" si="0"/>
        <v>2</v>
      </c>
      <c r="J6" s="25">
        <f t="shared" si="0"/>
        <v>2</v>
      </c>
      <c r="K6" s="25">
        <f t="shared" si="0"/>
        <v>2</v>
      </c>
      <c r="L6" s="25">
        <f>IF(COUNT(C6:K6)=0,"",SUM(C6:K6))</f>
        <v>18</v>
      </c>
      <c r="M6" s="25">
        <f t="shared" ref="M6:U6" si="1">IF($B5="","",FLOOR($B5/18,1)+IF(MOD($B5,18)&gt;=M$4,1,0))</f>
        <v>2</v>
      </c>
      <c r="N6" s="25">
        <f t="shared" si="1"/>
        <v>2</v>
      </c>
      <c r="O6" s="25">
        <f t="shared" si="1"/>
        <v>2</v>
      </c>
      <c r="P6" s="25">
        <f t="shared" si="1"/>
        <v>2</v>
      </c>
      <c r="Q6" s="25">
        <f t="shared" si="1"/>
        <v>2</v>
      </c>
      <c r="R6" s="25">
        <f t="shared" si="1"/>
        <v>2</v>
      </c>
      <c r="S6" s="25">
        <f t="shared" si="1"/>
        <v>2</v>
      </c>
      <c r="T6" s="25">
        <f t="shared" si="1"/>
        <v>2</v>
      </c>
      <c r="U6" s="25">
        <f t="shared" si="1"/>
        <v>2</v>
      </c>
      <c r="V6" s="25">
        <f>IF(COUNT(M6:U6)=0,"",SUM(M6:U6))</f>
        <v>18</v>
      </c>
      <c r="W6" s="25">
        <f>IF(AND(L6="",V6=""),"",SUM(L6,V6))</f>
        <v>36</v>
      </c>
    </row>
    <row r="7" spans="1:23" ht="15" customHeight="1" x14ac:dyDescent="0.2">
      <c r="A7" s="26" t="s">
        <v>75</v>
      </c>
      <c r="B7" s="23"/>
      <c r="C7" s="25" t="str">
        <f t="shared" ref="C7:K7" si="2">IF(C5="","",MAX(0,2-((C5-C6)-C$3)))</f>
        <v/>
      </c>
      <c r="D7" s="25" t="str">
        <f t="shared" si="2"/>
        <v/>
      </c>
      <c r="E7" s="25" t="str">
        <f t="shared" si="2"/>
        <v/>
      </c>
      <c r="F7" s="25" t="str">
        <f t="shared" si="2"/>
        <v/>
      </c>
      <c r="G7" s="25" t="str">
        <f t="shared" si="2"/>
        <v/>
      </c>
      <c r="H7" s="25" t="str">
        <f t="shared" si="2"/>
        <v/>
      </c>
      <c r="I7" s="25" t="str">
        <f t="shared" si="2"/>
        <v/>
      </c>
      <c r="J7" s="25" t="str">
        <f t="shared" si="2"/>
        <v/>
      </c>
      <c r="K7" s="25" t="str">
        <f t="shared" si="2"/>
        <v/>
      </c>
      <c r="L7" s="25">
        <f>SUM(C7:K7)</f>
        <v>0</v>
      </c>
      <c r="M7" s="25" t="str">
        <f t="shared" ref="M7:U7" si="3">IF(M5="","",MAX(0,2-((M5-M6)-M$3)))</f>
        <v/>
      </c>
      <c r="N7" s="25" t="str">
        <f t="shared" si="3"/>
        <v/>
      </c>
      <c r="O7" s="25" t="str">
        <f t="shared" si="3"/>
        <v/>
      </c>
      <c r="P7" s="25" t="str">
        <f t="shared" si="3"/>
        <v/>
      </c>
      <c r="Q7" s="25" t="str">
        <f t="shared" si="3"/>
        <v/>
      </c>
      <c r="R7" s="25" t="str">
        <f t="shared" si="3"/>
        <v/>
      </c>
      <c r="S7" s="25" t="str">
        <f t="shared" si="3"/>
        <v/>
      </c>
      <c r="T7" s="25" t="str">
        <f t="shared" si="3"/>
        <v/>
      </c>
      <c r="U7" s="25" t="str">
        <f t="shared" si="3"/>
        <v/>
      </c>
      <c r="V7" s="25">
        <f>SUM(M7:U7)</f>
        <v>0</v>
      </c>
      <c r="W7" s="25">
        <f>L7+V7</f>
        <v>0</v>
      </c>
    </row>
    <row r="8" spans="1:23" ht="15" customHeight="1" x14ac:dyDescent="0.2">
      <c r="A8" s="26" t="s">
        <v>76</v>
      </c>
      <c r="B8" s="27">
        <f>'Course Handicaps'!I5</f>
        <v>18</v>
      </c>
      <c r="C8" s="24"/>
      <c r="D8" s="24"/>
      <c r="E8" s="24"/>
      <c r="F8" s="24"/>
      <c r="G8" s="24"/>
      <c r="H8" s="24"/>
      <c r="I8" s="24"/>
      <c r="J8" s="24"/>
      <c r="K8" s="24"/>
      <c r="L8" s="25" t="str">
        <f>IF(COUNT(C8:K8)=0,"",SUM(C8:K8))</f>
        <v/>
      </c>
      <c r="M8" s="24"/>
      <c r="N8" s="24"/>
      <c r="O8" s="24"/>
      <c r="P8" s="24"/>
      <c r="Q8" s="24"/>
      <c r="R8" s="24"/>
      <c r="S8" s="24"/>
      <c r="T8" s="24"/>
      <c r="U8" s="24"/>
      <c r="V8" s="25" t="str">
        <f>IF(COUNT(M8:U8)=0,"",SUM(M8:U8))</f>
        <v/>
      </c>
      <c r="W8" s="25" t="str">
        <f>IF(AND(L8="",V8=""),"",SUM(L8,V8))</f>
        <v/>
      </c>
    </row>
    <row r="9" spans="1:23" ht="15" customHeight="1" x14ac:dyDescent="0.2">
      <c r="A9" s="26" t="s">
        <v>77</v>
      </c>
      <c r="B9" s="23"/>
      <c r="C9" s="25">
        <f t="shared" ref="C9:K9" si="4">IF($B8="","",FLOOR($B8/18,1)+IF(MOD($B8,18)&gt;=C$4,1,0))</f>
        <v>2</v>
      </c>
      <c r="D9" s="25">
        <f t="shared" si="4"/>
        <v>2</v>
      </c>
      <c r="E9" s="25">
        <f t="shared" si="4"/>
        <v>2</v>
      </c>
      <c r="F9" s="25">
        <f t="shared" si="4"/>
        <v>2</v>
      </c>
      <c r="G9" s="25">
        <f t="shared" si="4"/>
        <v>2</v>
      </c>
      <c r="H9" s="25">
        <f t="shared" si="4"/>
        <v>2</v>
      </c>
      <c r="I9" s="25">
        <f t="shared" si="4"/>
        <v>2</v>
      </c>
      <c r="J9" s="25">
        <f t="shared" si="4"/>
        <v>2</v>
      </c>
      <c r="K9" s="25">
        <f t="shared" si="4"/>
        <v>2</v>
      </c>
      <c r="L9" s="25">
        <f>IF(COUNT(C9:K9)=0,"",SUM(C9:K9))</f>
        <v>18</v>
      </c>
      <c r="M9" s="25">
        <f t="shared" ref="M9:U9" si="5">IF($B8="","",FLOOR($B8/18,1)+IF(MOD($B8,18)&gt;=M$4,1,0))</f>
        <v>2</v>
      </c>
      <c r="N9" s="25">
        <f t="shared" si="5"/>
        <v>2</v>
      </c>
      <c r="O9" s="25">
        <f t="shared" si="5"/>
        <v>2</v>
      </c>
      <c r="P9" s="25">
        <f t="shared" si="5"/>
        <v>2</v>
      </c>
      <c r="Q9" s="25">
        <f t="shared" si="5"/>
        <v>2</v>
      </c>
      <c r="R9" s="25">
        <f t="shared" si="5"/>
        <v>2</v>
      </c>
      <c r="S9" s="25">
        <f t="shared" si="5"/>
        <v>2</v>
      </c>
      <c r="T9" s="25">
        <f t="shared" si="5"/>
        <v>2</v>
      </c>
      <c r="U9" s="25">
        <f t="shared" si="5"/>
        <v>2</v>
      </c>
      <c r="V9" s="25">
        <f>IF(COUNT(M9:U9)=0,"",SUM(M9:U9))</f>
        <v>18</v>
      </c>
      <c r="W9" s="25">
        <f>IF(AND(L9="",V9=""),"",SUM(L9,V9))</f>
        <v>36</v>
      </c>
    </row>
    <row r="10" spans="1:23" ht="15" customHeight="1" x14ac:dyDescent="0.2">
      <c r="A10" s="26" t="s">
        <v>78</v>
      </c>
      <c r="B10" s="23"/>
      <c r="C10" s="25" t="str">
        <f t="shared" ref="C10:K10" si="6">IF(C8="","",MAX(0,2-((C8-C9)-C$3)))</f>
        <v/>
      </c>
      <c r="D10" s="25" t="str">
        <f t="shared" si="6"/>
        <v/>
      </c>
      <c r="E10" s="25" t="str">
        <f t="shared" si="6"/>
        <v/>
      </c>
      <c r="F10" s="25" t="str">
        <f t="shared" si="6"/>
        <v/>
      </c>
      <c r="G10" s="25" t="str">
        <f t="shared" si="6"/>
        <v/>
      </c>
      <c r="H10" s="25" t="str">
        <f t="shared" si="6"/>
        <v/>
      </c>
      <c r="I10" s="25" t="str">
        <f t="shared" si="6"/>
        <v/>
      </c>
      <c r="J10" s="25" t="str">
        <f t="shared" si="6"/>
        <v/>
      </c>
      <c r="K10" s="25" t="str">
        <f t="shared" si="6"/>
        <v/>
      </c>
      <c r="L10" s="25">
        <f>SUM(C10:K10)</f>
        <v>0</v>
      </c>
      <c r="M10" s="25" t="str">
        <f t="shared" ref="M10:U10" si="7">IF(M8="","",MAX(0,2-((M8-M9)-M$3)))</f>
        <v/>
      </c>
      <c r="N10" s="25" t="str">
        <f t="shared" si="7"/>
        <v/>
      </c>
      <c r="O10" s="25" t="str">
        <f t="shared" si="7"/>
        <v/>
      </c>
      <c r="P10" s="25" t="str">
        <f t="shared" si="7"/>
        <v/>
      </c>
      <c r="Q10" s="25" t="str">
        <f t="shared" si="7"/>
        <v/>
      </c>
      <c r="R10" s="25" t="str">
        <f t="shared" si="7"/>
        <v/>
      </c>
      <c r="S10" s="25" t="str">
        <f t="shared" si="7"/>
        <v/>
      </c>
      <c r="T10" s="25" t="str">
        <f t="shared" si="7"/>
        <v/>
      </c>
      <c r="U10" s="25" t="str">
        <f t="shared" si="7"/>
        <v/>
      </c>
      <c r="V10" s="25">
        <f>SUM(M10:U10)</f>
        <v>0</v>
      </c>
      <c r="W10" s="25">
        <f>L10+V10</f>
        <v>0</v>
      </c>
    </row>
    <row r="11" spans="1:23" ht="15" customHeight="1" x14ac:dyDescent="0.2">
      <c r="A11" s="26" t="s">
        <v>79</v>
      </c>
      <c r="B11" s="27">
        <f>'Course Handicaps'!I6</f>
        <v>14</v>
      </c>
      <c r="C11" s="24"/>
      <c r="D11" s="24"/>
      <c r="E11" s="24"/>
      <c r="F11" s="24"/>
      <c r="G11" s="24"/>
      <c r="H11" s="24"/>
      <c r="I11" s="24"/>
      <c r="J11" s="24"/>
      <c r="K11" s="24"/>
      <c r="L11" s="25" t="str">
        <f>IF(COUNT(C11:K11)=0,"",SUM(C11:K11))</f>
        <v/>
      </c>
      <c r="M11" s="24"/>
      <c r="N11" s="24"/>
      <c r="O11" s="24"/>
      <c r="P11" s="24"/>
      <c r="Q11" s="24"/>
      <c r="R11" s="24"/>
      <c r="S11" s="24"/>
      <c r="T11" s="24"/>
      <c r="U11" s="24"/>
      <c r="V11" s="25" t="str">
        <f>IF(COUNT(M11:U11)=0,"",SUM(M11:U11))</f>
        <v/>
      </c>
      <c r="W11" s="25" t="str">
        <f>IF(AND(L11="",V11=""),"",SUM(L11,V11))</f>
        <v/>
      </c>
    </row>
    <row r="12" spans="1:23" ht="15" customHeight="1" x14ac:dyDescent="0.2">
      <c r="A12" s="26" t="s">
        <v>80</v>
      </c>
      <c r="B12" s="23"/>
      <c r="C12" s="25">
        <f t="shared" ref="C12:K12" si="8">IF($B11="","",FLOOR($B11/18,1)+IF(MOD($B11,18)&gt;=C$4,1,0))</f>
        <v>1</v>
      </c>
      <c r="D12" s="25">
        <f t="shared" si="8"/>
        <v>1</v>
      </c>
      <c r="E12" s="25">
        <f t="shared" si="8"/>
        <v>1</v>
      </c>
      <c r="F12" s="25">
        <f t="shared" si="8"/>
        <v>1</v>
      </c>
      <c r="G12" s="25">
        <f t="shared" si="8"/>
        <v>1</v>
      </c>
      <c r="H12" s="25">
        <f t="shared" si="8"/>
        <v>1</v>
      </c>
      <c r="I12" s="25">
        <f t="shared" si="8"/>
        <v>1</v>
      </c>
      <c r="J12" s="25">
        <f t="shared" si="8"/>
        <v>1</v>
      </c>
      <c r="K12" s="25">
        <f t="shared" si="8"/>
        <v>1</v>
      </c>
      <c r="L12" s="25">
        <f>IF(COUNT(C12:K12)=0,"",SUM(C12:K12))</f>
        <v>9</v>
      </c>
      <c r="M12" s="25">
        <f t="shared" ref="M12:U12" si="9">IF($B11="","",FLOOR($B11/18,1)+IF(MOD($B11,18)&gt;=M$4,1,0))</f>
        <v>1</v>
      </c>
      <c r="N12" s="25">
        <f t="shared" si="9"/>
        <v>1</v>
      </c>
      <c r="O12" s="25">
        <f t="shared" si="9"/>
        <v>1</v>
      </c>
      <c r="P12" s="25">
        <f t="shared" si="9"/>
        <v>1</v>
      </c>
      <c r="Q12" s="25">
        <f t="shared" si="9"/>
        <v>1</v>
      </c>
      <c r="R12" s="25">
        <f t="shared" si="9"/>
        <v>1</v>
      </c>
      <c r="S12" s="25">
        <f t="shared" si="9"/>
        <v>1</v>
      </c>
      <c r="T12" s="25">
        <f t="shared" si="9"/>
        <v>1</v>
      </c>
      <c r="U12" s="25">
        <f t="shared" si="9"/>
        <v>1</v>
      </c>
      <c r="V12" s="25">
        <f>IF(COUNT(M12:U12)=0,"",SUM(M12:U12))</f>
        <v>9</v>
      </c>
      <c r="W12" s="25">
        <f>IF(AND(L12="",V12=""),"",SUM(L12,V12))</f>
        <v>18</v>
      </c>
    </row>
    <row r="13" spans="1:23" ht="15" customHeight="1" x14ac:dyDescent="0.2">
      <c r="A13" s="26" t="s">
        <v>81</v>
      </c>
      <c r="B13" s="23"/>
      <c r="C13" s="25" t="str">
        <f t="shared" ref="C13:K13" si="10">IF(C11="","",MAX(0,2-((C11-C12)-C$3)))</f>
        <v/>
      </c>
      <c r="D13" s="25" t="str">
        <f t="shared" si="10"/>
        <v/>
      </c>
      <c r="E13" s="25" t="str">
        <f t="shared" si="10"/>
        <v/>
      </c>
      <c r="F13" s="25" t="str">
        <f t="shared" si="10"/>
        <v/>
      </c>
      <c r="G13" s="25" t="str">
        <f t="shared" si="10"/>
        <v/>
      </c>
      <c r="H13" s="25" t="str">
        <f t="shared" si="10"/>
        <v/>
      </c>
      <c r="I13" s="25" t="str">
        <f t="shared" si="10"/>
        <v/>
      </c>
      <c r="J13" s="25" t="str">
        <f t="shared" si="10"/>
        <v/>
      </c>
      <c r="K13" s="25" t="str">
        <f t="shared" si="10"/>
        <v/>
      </c>
      <c r="L13" s="25">
        <f>SUM(C13:K13)</f>
        <v>0</v>
      </c>
      <c r="M13" s="25" t="str">
        <f t="shared" ref="M13:U13" si="11">IF(M11="","",MAX(0,2-((M11-M12)-M$3)))</f>
        <v/>
      </c>
      <c r="N13" s="25" t="str">
        <f t="shared" si="11"/>
        <v/>
      </c>
      <c r="O13" s="25" t="str">
        <f t="shared" si="11"/>
        <v/>
      </c>
      <c r="P13" s="25" t="str">
        <f t="shared" si="11"/>
        <v/>
      </c>
      <c r="Q13" s="25" t="str">
        <f t="shared" si="11"/>
        <v/>
      </c>
      <c r="R13" s="25" t="str">
        <f t="shared" si="11"/>
        <v/>
      </c>
      <c r="S13" s="25" t="str">
        <f t="shared" si="11"/>
        <v/>
      </c>
      <c r="T13" s="25" t="str">
        <f t="shared" si="11"/>
        <v/>
      </c>
      <c r="U13" s="25" t="str">
        <f t="shared" si="11"/>
        <v/>
      </c>
      <c r="V13" s="25">
        <f>SUM(M13:U13)</f>
        <v>0</v>
      </c>
      <c r="W13" s="25">
        <f>L13+V13</f>
        <v>0</v>
      </c>
    </row>
    <row r="14" spans="1:23" ht="15" customHeight="1" x14ac:dyDescent="0.2">
      <c r="A14" s="26" t="s">
        <v>82</v>
      </c>
      <c r="B14" s="27">
        <f>'Course Handicaps'!I7</f>
        <v>25</v>
      </c>
      <c r="C14" s="24"/>
      <c r="D14" s="24"/>
      <c r="E14" s="24"/>
      <c r="F14" s="24"/>
      <c r="G14" s="24"/>
      <c r="H14" s="24"/>
      <c r="I14" s="24"/>
      <c r="J14" s="24"/>
      <c r="K14" s="24"/>
      <c r="L14" s="25" t="str">
        <f>IF(COUNT(C14:K14)=0,"",SUM(C14:K14))</f>
        <v/>
      </c>
      <c r="M14" s="24"/>
      <c r="N14" s="24"/>
      <c r="O14" s="24"/>
      <c r="P14" s="24"/>
      <c r="Q14" s="24"/>
      <c r="R14" s="24"/>
      <c r="S14" s="24"/>
      <c r="T14" s="24"/>
      <c r="U14" s="24"/>
      <c r="V14" s="25" t="str">
        <f>IF(COUNT(M14:U14)=0,"",SUM(M14:U14))</f>
        <v/>
      </c>
      <c r="W14" s="25" t="str">
        <f>IF(AND(L14="",V14=""),"",SUM(L14,V14))</f>
        <v/>
      </c>
    </row>
    <row r="15" spans="1:23" ht="15" customHeight="1" x14ac:dyDescent="0.2">
      <c r="A15" s="26" t="s">
        <v>83</v>
      </c>
      <c r="B15" s="23"/>
      <c r="C15" s="25">
        <f t="shared" ref="C15:K15" si="12">IF($B14="","",FLOOR($B14/18,1)+IF(MOD($B14,18)&gt;=C$4,1,0))</f>
        <v>2</v>
      </c>
      <c r="D15" s="25">
        <f t="shared" si="12"/>
        <v>2</v>
      </c>
      <c r="E15" s="25">
        <f t="shared" si="12"/>
        <v>2</v>
      </c>
      <c r="F15" s="25">
        <f t="shared" si="12"/>
        <v>2</v>
      </c>
      <c r="G15" s="25">
        <f t="shared" si="12"/>
        <v>2</v>
      </c>
      <c r="H15" s="25">
        <f t="shared" si="12"/>
        <v>2</v>
      </c>
      <c r="I15" s="25">
        <f t="shared" si="12"/>
        <v>2</v>
      </c>
      <c r="J15" s="25">
        <f t="shared" si="12"/>
        <v>2</v>
      </c>
      <c r="K15" s="25">
        <f t="shared" si="12"/>
        <v>2</v>
      </c>
      <c r="L15" s="25">
        <f>IF(COUNT(C15:K15)=0,"",SUM(C15:K15))</f>
        <v>18</v>
      </c>
      <c r="M15" s="25">
        <f t="shared" ref="M15:U15" si="13">IF($B14="","",FLOOR($B14/18,1)+IF(MOD($B14,18)&gt;=M$4,1,0))</f>
        <v>2</v>
      </c>
      <c r="N15" s="25">
        <f t="shared" si="13"/>
        <v>2</v>
      </c>
      <c r="O15" s="25">
        <f t="shared" si="13"/>
        <v>2</v>
      </c>
      <c r="P15" s="25">
        <f t="shared" si="13"/>
        <v>2</v>
      </c>
      <c r="Q15" s="25">
        <f t="shared" si="13"/>
        <v>2</v>
      </c>
      <c r="R15" s="25">
        <f t="shared" si="13"/>
        <v>2</v>
      </c>
      <c r="S15" s="25">
        <f t="shared" si="13"/>
        <v>2</v>
      </c>
      <c r="T15" s="25">
        <f t="shared" si="13"/>
        <v>2</v>
      </c>
      <c r="U15" s="25">
        <f t="shared" si="13"/>
        <v>2</v>
      </c>
      <c r="V15" s="25">
        <f>IF(COUNT(M15:U15)=0,"",SUM(M15:U15))</f>
        <v>18</v>
      </c>
      <c r="W15" s="25">
        <f>IF(AND(L15="",V15=""),"",SUM(L15,V15))</f>
        <v>36</v>
      </c>
    </row>
    <row r="16" spans="1:23" ht="15" customHeight="1" x14ac:dyDescent="0.2">
      <c r="A16" s="26" t="s">
        <v>84</v>
      </c>
      <c r="B16" s="23"/>
      <c r="C16" s="25" t="str">
        <f t="shared" ref="C16:K16" si="14">IF(C14="","",MAX(0,2-((C14-C15)-C$3)))</f>
        <v/>
      </c>
      <c r="D16" s="25" t="str">
        <f t="shared" si="14"/>
        <v/>
      </c>
      <c r="E16" s="25" t="str">
        <f t="shared" si="14"/>
        <v/>
      </c>
      <c r="F16" s="25" t="str">
        <f t="shared" si="14"/>
        <v/>
      </c>
      <c r="G16" s="25" t="str">
        <f t="shared" si="14"/>
        <v/>
      </c>
      <c r="H16" s="25" t="str">
        <f t="shared" si="14"/>
        <v/>
      </c>
      <c r="I16" s="25" t="str">
        <f t="shared" si="14"/>
        <v/>
      </c>
      <c r="J16" s="25" t="str">
        <f t="shared" si="14"/>
        <v/>
      </c>
      <c r="K16" s="25" t="str">
        <f t="shared" si="14"/>
        <v/>
      </c>
      <c r="L16" s="25">
        <f>SUM(C16:K16)</f>
        <v>0</v>
      </c>
      <c r="M16" s="25" t="str">
        <f t="shared" ref="M16:U16" si="15">IF(M14="","",MAX(0,2-((M14-M15)-M$3)))</f>
        <v/>
      </c>
      <c r="N16" s="25" t="str">
        <f t="shared" si="15"/>
        <v/>
      </c>
      <c r="O16" s="25" t="str">
        <f t="shared" si="15"/>
        <v/>
      </c>
      <c r="P16" s="25" t="str">
        <f t="shared" si="15"/>
        <v/>
      </c>
      <c r="Q16" s="25" t="str">
        <f t="shared" si="15"/>
        <v/>
      </c>
      <c r="R16" s="25" t="str">
        <f t="shared" si="15"/>
        <v/>
      </c>
      <c r="S16" s="25" t="str">
        <f t="shared" si="15"/>
        <v/>
      </c>
      <c r="T16" s="25" t="str">
        <f t="shared" si="15"/>
        <v/>
      </c>
      <c r="U16" s="25" t="str">
        <f t="shared" si="15"/>
        <v/>
      </c>
      <c r="V16" s="25">
        <f>SUM(M16:U16)</f>
        <v>0</v>
      </c>
      <c r="W16" s="25">
        <f>L16+V16</f>
        <v>0</v>
      </c>
    </row>
    <row r="17" spans="1:23" ht="15" customHeight="1" x14ac:dyDescent="0.2">
      <c r="A17" s="26" t="s">
        <v>85</v>
      </c>
      <c r="B17" s="27">
        <f>'Course Handicaps'!I8</f>
        <v>28</v>
      </c>
      <c r="C17" s="24"/>
      <c r="D17" s="24"/>
      <c r="E17" s="24"/>
      <c r="F17" s="24"/>
      <c r="G17" s="24"/>
      <c r="H17" s="24"/>
      <c r="I17" s="24"/>
      <c r="J17" s="24"/>
      <c r="K17" s="24"/>
      <c r="L17" s="25" t="str">
        <f>IF(COUNT(C17:K17)=0,"",SUM(C17:K17))</f>
        <v/>
      </c>
      <c r="M17" s="24"/>
      <c r="N17" s="24"/>
      <c r="O17" s="24"/>
      <c r="P17" s="24"/>
      <c r="Q17" s="24"/>
      <c r="R17" s="24"/>
      <c r="S17" s="24"/>
      <c r="T17" s="24"/>
      <c r="U17" s="24"/>
      <c r="V17" s="25" t="str">
        <f>IF(COUNT(M17:U17)=0,"",SUM(M17:U17))</f>
        <v/>
      </c>
      <c r="W17" s="25" t="str">
        <f>IF(AND(L17="",V17=""),"",SUM(L17,V17))</f>
        <v/>
      </c>
    </row>
    <row r="18" spans="1:23" ht="15" customHeight="1" x14ac:dyDescent="0.2">
      <c r="A18" s="26" t="s">
        <v>86</v>
      </c>
      <c r="B18" s="23"/>
      <c r="C18" s="25">
        <f t="shared" ref="C18:K18" si="16">IF($B17="","",FLOOR($B17/18,1)+IF(MOD($B17,18)&gt;=C$4,1,0))</f>
        <v>2</v>
      </c>
      <c r="D18" s="25">
        <f t="shared" si="16"/>
        <v>2</v>
      </c>
      <c r="E18" s="25">
        <f t="shared" si="16"/>
        <v>2</v>
      </c>
      <c r="F18" s="25">
        <f t="shared" si="16"/>
        <v>2</v>
      </c>
      <c r="G18" s="25">
        <f t="shared" si="16"/>
        <v>2</v>
      </c>
      <c r="H18" s="25">
        <f t="shared" si="16"/>
        <v>2</v>
      </c>
      <c r="I18" s="25">
        <f t="shared" si="16"/>
        <v>2</v>
      </c>
      <c r="J18" s="25">
        <f t="shared" si="16"/>
        <v>2</v>
      </c>
      <c r="K18" s="25">
        <f t="shared" si="16"/>
        <v>2</v>
      </c>
      <c r="L18" s="25">
        <f>IF(COUNT(C18:K18)=0,"",SUM(C18:K18))</f>
        <v>18</v>
      </c>
      <c r="M18" s="25">
        <f t="shared" ref="M18:U18" si="17">IF($B17="","",FLOOR($B17/18,1)+IF(MOD($B17,18)&gt;=M$4,1,0))</f>
        <v>2</v>
      </c>
      <c r="N18" s="25">
        <f t="shared" si="17"/>
        <v>2</v>
      </c>
      <c r="O18" s="25">
        <f t="shared" si="17"/>
        <v>2</v>
      </c>
      <c r="P18" s="25">
        <f t="shared" si="17"/>
        <v>2</v>
      </c>
      <c r="Q18" s="25">
        <f t="shared" si="17"/>
        <v>2</v>
      </c>
      <c r="R18" s="25">
        <f t="shared" si="17"/>
        <v>2</v>
      </c>
      <c r="S18" s="25">
        <f t="shared" si="17"/>
        <v>2</v>
      </c>
      <c r="T18" s="25">
        <f t="shared" si="17"/>
        <v>2</v>
      </c>
      <c r="U18" s="25">
        <f t="shared" si="17"/>
        <v>2</v>
      </c>
      <c r="V18" s="25">
        <f>IF(COUNT(M18:U18)=0,"",SUM(M18:U18))</f>
        <v>18</v>
      </c>
      <c r="W18" s="25">
        <f>IF(AND(L18="",V18=""),"",SUM(L18,V18))</f>
        <v>36</v>
      </c>
    </row>
    <row r="19" spans="1:23" ht="15" customHeight="1" x14ac:dyDescent="0.2">
      <c r="A19" s="26" t="s">
        <v>87</v>
      </c>
      <c r="B19" s="23"/>
      <c r="C19" s="25" t="str">
        <f t="shared" ref="C19:K19" si="18">IF(C17="","",MAX(0,2-((C17-C18)-C$3)))</f>
        <v/>
      </c>
      <c r="D19" s="25" t="str">
        <f t="shared" si="18"/>
        <v/>
      </c>
      <c r="E19" s="25" t="str">
        <f t="shared" si="18"/>
        <v/>
      </c>
      <c r="F19" s="25" t="str">
        <f t="shared" si="18"/>
        <v/>
      </c>
      <c r="G19" s="25" t="str">
        <f t="shared" si="18"/>
        <v/>
      </c>
      <c r="H19" s="25" t="str">
        <f t="shared" si="18"/>
        <v/>
      </c>
      <c r="I19" s="25" t="str">
        <f t="shared" si="18"/>
        <v/>
      </c>
      <c r="J19" s="25" t="str">
        <f t="shared" si="18"/>
        <v/>
      </c>
      <c r="K19" s="25" t="str">
        <f t="shared" si="18"/>
        <v/>
      </c>
      <c r="L19" s="25">
        <f>SUM(C19:K19)</f>
        <v>0</v>
      </c>
      <c r="M19" s="25" t="str">
        <f t="shared" ref="M19:U19" si="19">IF(M17="","",MAX(0,2-((M17-M18)-M$3)))</f>
        <v/>
      </c>
      <c r="N19" s="25" t="str">
        <f t="shared" si="19"/>
        <v/>
      </c>
      <c r="O19" s="25" t="str">
        <f t="shared" si="19"/>
        <v/>
      </c>
      <c r="P19" s="25" t="str">
        <f t="shared" si="19"/>
        <v/>
      </c>
      <c r="Q19" s="25" t="str">
        <f t="shared" si="19"/>
        <v/>
      </c>
      <c r="R19" s="25" t="str">
        <f t="shared" si="19"/>
        <v/>
      </c>
      <c r="S19" s="25" t="str">
        <f t="shared" si="19"/>
        <v/>
      </c>
      <c r="T19" s="25" t="str">
        <f t="shared" si="19"/>
        <v/>
      </c>
      <c r="U19" s="25" t="str">
        <f t="shared" si="19"/>
        <v/>
      </c>
      <c r="V19" s="25">
        <f>SUM(M19:U19)</f>
        <v>0</v>
      </c>
      <c r="W19" s="25">
        <f>L19+V19</f>
        <v>0</v>
      </c>
    </row>
    <row r="20" spans="1:23" ht="15" customHeight="1" x14ac:dyDescent="0.2">
      <c r="A20" s="26" t="s">
        <v>88</v>
      </c>
      <c r="B20" s="27">
        <f>'Course Handicaps'!I9</f>
        <v>20</v>
      </c>
      <c r="C20" s="24"/>
      <c r="D20" s="24"/>
      <c r="E20" s="24"/>
      <c r="F20" s="24"/>
      <c r="G20" s="24"/>
      <c r="H20" s="24"/>
      <c r="I20" s="24"/>
      <c r="J20" s="24"/>
      <c r="K20" s="24"/>
      <c r="L20" s="25" t="str">
        <f>IF(COUNT(C20:K20)=0,"",SUM(C20:K20))</f>
        <v/>
      </c>
      <c r="M20" s="24"/>
      <c r="N20" s="24"/>
      <c r="O20" s="24"/>
      <c r="P20" s="24"/>
      <c r="Q20" s="24"/>
      <c r="R20" s="24"/>
      <c r="S20" s="24"/>
      <c r="T20" s="24"/>
      <c r="U20" s="24"/>
      <c r="V20" s="25" t="str">
        <f>IF(COUNT(M20:U20)=0,"",SUM(M20:U20))</f>
        <v/>
      </c>
      <c r="W20" s="25" t="str">
        <f>IF(AND(L20="",V20=""),"",SUM(L20,V20))</f>
        <v/>
      </c>
    </row>
    <row r="21" spans="1:23" ht="15" customHeight="1" x14ac:dyDescent="0.2">
      <c r="A21" s="26" t="s">
        <v>89</v>
      </c>
      <c r="B21" s="23"/>
      <c r="C21" s="25">
        <f t="shared" ref="C21:K21" si="20">IF($B20="","",FLOOR($B20/18,1)+IF(MOD($B20,18)&gt;=C$4,1,0))</f>
        <v>2</v>
      </c>
      <c r="D21" s="25">
        <f t="shared" si="20"/>
        <v>2</v>
      </c>
      <c r="E21" s="25">
        <f t="shared" si="20"/>
        <v>2</v>
      </c>
      <c r="F21" s="25">
        <f t="shared" si="20"/>
        <v>2</v>
      </c>
      <c r="G21" s="25">
        <f t="shared" si="20"/>
        <v>2</v>
      </c>
      <c r="H21" s="25">
        <f t="shared" si="20"/>
        <v>2</v>
      </c>
      <c r="I21" s="25">
        <f t="shared" si="20"/>
        <v>2</v>
      </c>
      <c r="J21" s="25">
        <f t="shared" si="20"/>
        <v>2</v>
      </c>
      <c r="K21" s="25">
        <f t="shared" si="20"/>
        <v>2</v>
      </c>
      <c r="L21" s="25">
        <f>IF(COUNT(C21:K21)=0,"",SUM(C21:K21))</f>
        <v>18</v>
      </c>
      <c r="M21" s="25">
        <f t="shared" ref="M21:U21" si="21">IF($B20="","",FLOOR($B20/18,1)+IF(MOD($B20,18)&gt;=M$4,1,0))</f>
        <v>2</v>
      </c>
      <c r="N21" s="25">
        <f t="shared" si="21"/>
        <v>2</v>
      </c>
      <c r="O21" s="25">
        <f t="shared" si="21"/>
        <v>2</v>
      </c>
      <c r="P21" s="25">
        <f t="shared" si="21"/>
        <v>2</v>
      </c>
      <c r="Q21" s="25">
        <f t="shared" si="21"/>
        <v>2</v>
      </c>
      <c r="R21" s="25">
        <f t="shared" si="21"/>
        <v>2</v>
      </c>
      <c r="S21" s="25">
        <f t="shared" si="21"/>
        <v>2</v>
      </c>
      <c r="T21" s="25">
        <f t="shared" si="21"/>
        <v>2</v>
      </c>
      <c r="U21" s="25">
        <f t="shared" si="21"/>
        <v>2</v>
      </c>
      <c r="V21" s="25">
        <f>IF(COUNT(M21:U21)=0,"",SUM(M21:U21))</f>
        <v>18</v>
      </c>
      <c r="W21" s="25">
        <f>IF(AND(L21="",V21=""),"",SUM(L21,V21))</f>
        <v>36</v>
      </c>
    </row>
    <row r="22" spans="1:23" ht="15" customHeight="1" x14ac:dyDescent="0.2">
      <c r="A22" s="26" t="s">
        <v>90</v>
      </c>
      <c r="B22" s="23"/>
      <c r="C22" s="25" t="str">
        <f t="shared" ref="C22:K22" si="22">IF(C20="","",MAX(0,2-((C20-C21)-C$3)))</f>
        <v/>
      </c>
      <c r="D22" s="25" t="str">
        <f t="shared" si="22"/>
        <v/>
      </c>
      <c r="E22" s="25" t="str">
        <f t="shared" si="22"/>
        <v/>
      </c>
      <c r="F22" s="25" t="str">
        <f t="shared" si="22"/>
        <v/>
      </c>
      <c r="G22" s="25" t="str">
        <f t="shared" si="22"/>
        <v/>
      </c>
      <c r="H22" s="25" t="str">
        <f t="shared" si="22"/>
        <v/>
      </c>
      <c r="I22" s="25" t="str">
        <f t="shared" si="22"/>
        <v/>
      </c>
      <c r="J22" s="25" t="str">
        <f t="shared" si="22"/>
        <v/>
      </c>
      <c r="K22" s="25" t="str">
        <f t="shared" si="22"/>
        <v/>
      </c>
      <c r="L22" s="25">
        <f>SUM(C22:K22)</f>
        <v>0</v>
      </c>
      <c r="M22" s="25" t="str">
        <f t="shared" ref="M22:U22" si="23">IF(M20="","",MAX(0,2-((M20-M21)-M$3)))</f>
        <v/>
      </c>
      <c r="N22" s="25" t="str">
        <f t="shared" si="23"/>
        <v/>
      </c>
      <c r="O22" s="25" t="str">
        <f t="shared" si="23"/>
        <v/>
      </c>
      <c r="P22" s="25" t="str">
        <f t="shared" si="23"/>
        <v/>
      </c>
      <c r="Q22" s="25" t="str">
        <f t="shared" si="23"/>
        <v/>
      </c>
      <c r="R22" s="25" t="str">
        <f t="shared" si="23"/>
        <v/>
      </c>
      <c r="S22" s="25" t="str">
        <f t="shared" si="23"/>
        <v/>
      </c>
      <c r="T22" s="25" t="str">
        <f t="shared" si="23"/>
        <v/>
      </c>
      <c r="U22" s="25" t="str">
        <f t="shared" si="23"/>
        <v/>
      </c>
      <c r="V22" s="25">
        <f>SUM(M22:U22)</f>
        <v>0</v>
      </c>
      <c r="W22" s="25">
        <f>L22+V22</f>
        <v>0</v>
      </c>
    </row>
    <row r="23" spans="1:23" ht="15" customHeight="1" x14ac:dyDescent="0.2">
      <c r="A23" s="26" t="s">
        <v>91</v>
      </c>
      <c r="B23" s="27">
        <f>'Course Handicaps'!I10</f>
        <v>17</v>
      </c>
      <c r="C23" s="24"/>
      <c r="D23" s="24"/>
      <c r="E23" s="24"/>
      <c r="F23" s="24"/>
      <c r="G23" s="24"/>
      <c r="H23" s="24"/>
      <c r="I23" s="24"/>
      <c r="J23" s="24"/>
      <c r="K23" s="24"/>
      <c r="L23" s="25" t="str">
        <f>IF(COUNT(C23:K23)=0,"",SUM(C23:K23))</f>
        <v/>
      </c>
      <c r="M23" s="24"/>
      <c r="N23" s="24"/>
      <c r="O23" s="24"/>
      <c r="P23" s="24"/>
      <c r="Q23" s="24"/>
      <c r="R23" s="24"/>
      <c r="S23" s="24"/>
      <c r="T23" s="24"/>
      <c r="U23" s="24"/>
      <c r="V23" s="25" t="str">
        <f>IF(COUNT(M23:U23)=0,"",SUM(M23:U23))</f>
        <v/>
      </c>
      <c r="W23" s="25" t="str">
        <f>IF(AND(L23="",V23=""),"",SUM(L23,V23))</f>
        <v/>
      </c>
    </row>
    <row r="24" spans="1:23" ht="15" customHeight="1" x14ac:dyDescent="0.2">
      <c r="A24" s="26" t="s">
        <v>92</v>
      </c>
      <c r="B24" s="23"/>
      <c r="C24" s="25">
        <f t="shared" ref="C24:K24" si="24">IF($B23="","",FLOOR($B23/18,1)+IF(MOD($B23,18)&gt;=C$4,1,0))</f>
        <v>1</v>
      </c>
      <c r="D24" s="25">
        <f t="shared" si="24"/>
        <v>1</v>
      </c>
      <c r="E24" s="25">
        <f t="shared" si="24"/>
        <v>1</v>
      </c>
      <c r="F24" s="25">
        <f t="shared" si="24"/>
        <v>1</v>
      </c>
      <c r="G24" s="25">
        <f t="shared" si="24"/>
        <v>1</v>
      </c>
      <c r="H24" s="25">
        <f t="shared" si="24"/>
        <v>1</v>
      </c>
      <c r="I24" s="25">
        <f t="shared" si="24"/>
        <v>1</v>
      </c>
      <c r="J24" s="25">
        <f t="shared" si="24"/>
        <v>1</v>
      </c>
      <c r="K24" s="25">
        <f t="shared" si="24"/>
        <v>1</v>
      </c>
      <c r="L24" s="25">
        <f>IF(COUNT(C24:K24)=0,"",SUM(C24:K24))</f>
        <v>9</v>
      </c>
      <c r="M24" s="25">
        <f t="shared" ref="M24:U24" si="25">IF($B23="","",FLOOR($B23/18,1)+IF(MOD($B23,18)&gt;=M$4,1,0))</f>
        <v>1</v>
      </c>
      <c r="N24" s="25">
        <f t="shared" si="25"/>
        <v>1</v>
      </c>
      <c r="O24" s="25">
        <f t="shared" si="25"/>
        <v>1</v>
      </c>
      <c r="P24" s="25">
        <f t="shared" si="25"/>
        <v>1</v>
      </c>
      <c r="Q24" s="25">
        <f t="shared" si="25"/>
        <v>1</v>
      </c>
      <c r="R24" s="25">
        <f t="shared" si="25"/>
        <v>1</v>
      </c>
      <c r="S24" s="25">
        <f t="shared" si="25"/>
        <v>1</v>
      </c>
      <c r="T24" s="25">
        <f t="shared" si="25"/>
        <v>1</v>
      </c>
      <c r="U24" s="25">
        <f t="shared" si="25"/>
        <v>1</v>
      </c>
      <c r="V24" s="25">
        <f>IF(COUNT(M24:U24)=0,"",SUM(M24:U24))</f>
        <v>9</v>
      </c>
      <c r="W24" s="25">
        <f>IF(AND(L24="",V24=""),"",SUM(L24,V24))</f>
        <v>18</v>
      </c>
    </row>
    <row r="25" spans="1:23" ht="15" customHeight="1" x14ac:dyDescent="0.2">
      <c r="A25" s="26" t="s">
        <v>93</v>
      </c>
      <c r="B25" s="23"/>
      <c r="C25" s="25" t="str">
        <f t="shared" ref="C25:K25" si="26">IF(C23="","",MAX(0,2-((C23-C24)-C$3)))</f>
        <v/>
      </c>
      <c r="D25" s="25" t="str">
        <f t="shared" si="26"/>
        <v/>
      </c>
      <c r="E25" s="25" t="str">
        <f t="shared" si="26"/>
        <v/>
      </c>
      <c r="F25" s="25" t="str">
        <f t="shared" si="26"/>
        <v/>
      </c>
      <c r="G25" s="25" t="str">
        <f t="shared" si="26"/>
        <v/>
      </c>
      <c r="H25" s="25" t="str">
        <f t="shared" si="26"/>
        <v/>
      </c>
      <c r="I25" s="25" t="str">
        <f t="shared" si="26"/>
        <v/>
      </c>
      <c r="J25" s="25" t="str">
        <f t="shared" si="26"/>
        <v/>
      </c>
      <c r="K25" s="25" t="str">
        <f t="shared" si="26"/>
        <v/>
      </c>
      <c r="L25" s="25">
        <f>SUM(C25:K25)</f>
        <v>0</v>
      </c>
      <c r="M25" s="25" t="str">
        <f t="shared" ref="M25:U25" si="27">IF(M23="","",MAX(0,2-((M23-M24)-M$3)))</f>
        <v/>
      </c>
      <c r="N25" s="25" t="str">
        <f t="shared" si="27"/>
        <v/>
      </c>
      <c r="O25" s="25" t="str">
        <f t="shared" si="27"/>
        <v/>
      </c>
      <c r="P25" s="25" t="str">
        <f t="shared" si="27"/>
        <v/>
      </c>
      <c r="Q25" s="25" t="str">
        <f t="shared" si="27"/>
        <v/>
      </c>
      <c r="R25" s="25" t="str">
        <f t="shared" si="27"/>
        <v/>
      </c>
      <c r="S25" s="25" t="str">
        <f t="shared" si="27"/>
        <v/>
      </c>
      <c r="T25" s="25" t="str">
        <f t="shared" si="27"/>
        <v/>
      </c>
      <c r="U25" s="25" t="str">
        <f t="shared" si="27"/>
        <v/>
      </c>
      <c r="V25" s="25">
        <f>SUM(M25:U25)</f>
        <v>0</v>
      </c>
      <c r="W25" s="25">
        <f>L25+V25</f>
        <v>0</v>
      </c>
    </row>
    <row r="26" spans="1:23" ht="15" customHeight="1" x14ac:dyDescent="0.2">
      <c r="A26" s="26" t="s">
        <v>94</v>
      </c>
      <c r="B26" s="27">
        <f>'Course Handicaps'!I11</f>
        <v>28</v>
      </c>
      <c r="C26" s="24"/>
      <c r="D26" s="24"/>
      <c r="E26" s="24"/>
      <c r="F26" s="24"/>
      <c r="G26" s="24"/>
      <c r="H26" s="24"/>
      <c r="I26" s="24"/>
      <c r="J26" s="24"/>
      <c r="K26" s="24"/>
      <c r="L26" s="25" t="str">
        <f>IF(COUNT(C26:K26)=0,"",SUM(C26:K26))</f>
        <v/>
      </c>
      <c r="M26" s="24"/>
      <c r="N26" s="24"/>
      <c r="O26" s="24"/>
      <c r="P26" s="24"/>
      <c r="Q26" s="24"/>
      <c r="R26" s="24"/>
      <c r="S26" s="24"/>
      <c r="T26" s="24"/>
      <c r="U26" s="24"/>
      <c r="V26" s="25" t="str">
        <f>IF(COUNT(M26:U26)=0,"",SUM(M26:U26))</f>
        <v/>
      </c>
      <c r="W26" s="25" t="str">
        <f>IF(AND(L26="",V26=""),"",SUM(L26,V26))</f>
        <v/>
      </c>
    </row>
    <row r="27" spans="1:23" ht="15" customHeight="1" x14ac:dyDescent="0.2">
      <c r="A27" s="26" t="s">
        <v>95</v>
      </c>
      <c r="B27" s="23"/>
      <c r="C27" s="25">
        <f t="shared" ref="C27:K27" si="28">IF($B26="","",FLOOR($B26/18,1)+IF(MOD($B26,18)&gt;=C$4,1,0))</f>
        <v>2</v>
      </c>
      <c r="D27" s="25">
        <f t="shared" si="28"/>
        <v>2</v>
      </c>
      <c r="E27" s="25">
        <f t="shared" si="28"/>
        <v>2</v>
      </c>
      <c r="F27" s="25">
        <f t="shared" si="28"/>
        <v>2</v>
      </c>
      <c r="G27" s="25">
        <f t="shared" si="28"/>
        <v>2</v>
      </c>
      <c r="H27" s="25">
        <f t="shared" si="28"/>
        <v>2</v>
      </c>
      <c r="I27" s="25">
        <f t="shared" si="28"/>
        <v>2</v>
      </c>
      <c r="J27" s="25">
        <f t="shared" si="28"/>
        <v>2</v>
      </c>
      <c r="K27" s="25">
        <f t="shared" si="28"/>
        <v>2</v>
      </c>
      <c r="L27" s="25">
        <f>IF(COUNT(C27:K27)=0,"",SUM(C27:K27))</f>
        <v>18</v>
      </c>
      <c r="M27" s="25">
        <f t="shared" ref="M27:U27" si="29">IF($B26="","",FLOOR($B26/18,1)+IF(MOD($B26,18)&gt;=M$4,1,0))</f>
        <v>2</v>
      </c>
      <c r="N27" s="25">
        <f t="shared" si="29"/>
        <v>2</v>
      </c>
      <c r="O27" s="25">
        <f t="shared" si="29"/>
        <v>2</v>
      </c>
      <c r="P27" s="25">
        <f t="shared" si="29"/>
        <v>2</v>
      </c>
      <c r="Q27" s="25">
        <f t="shared" si="29"/>
        <v>2</v>
      </c>
      <c r="R27" s="25">
        <f t="shared" si="29"/>
        <v>2</v>
      </c>
      <c r="S27" s="25">
        <f t="shared" si="29"/>
        <v>2</v>
      </c>
      <c r="T27" s="25">
        <f t="shared" si="29"/>
        <v>2</v>
      </c>
      <c r="U27" s="25">
        <f t="shared" si="29"/>
        <v>2</v>
      </c>
      <c r="V27" s="25">
        <f>IF(COUNT(M27:U27)=0,"",SUM(M27:U27))</f>
        <v>18</v>
      </c>
      <c r="W27" s="25">
        <f>IF(AND(L27="",V27=""),"",SUM(L27,V27))</f>
        <v>36</v>
      </c>
    </row>
    <row r="28" spans="1:23" ht="15" customHeight="1" x14ac:dyDescent="0.2">
      <c r="A28" s="26" t="s">
        <v>96</v>
      </c>
      <c r="B28" s="23"/>
      <c r="C28" s="25" t="str">
        <f t="shared" ref="C28:K28" si="30">IF(C26="","",MAX(0,2-((C26-C27)-C$3)))</f>
        <v/>
      </c>
      <c r="D28" s="25" t="str">
        <f t="shared" si="30"/>
        <v/>
      </c>
      <c r="E28" s="25" t="str">
        <f t="shared" si="30"/>
        <v/>
      </c>
      <c r="F28" s="25" t="str">
        <f t="shared" si="30"/>
        <v/>
      </c>
      <c r="G28" s="25" t="str">
        <f t="shared" si="30"/>
        <v/>
      </c>
      <c r="H28" s="25" t="str">
        <f t="shared" si="30"/>
        <v/>
      </c>
      <c r="I28" s="25" t="str">
        <f t="shared" si="30"/>
        <v/>
      </c>
      <c r="J28" s="25" t="str">
        <f t="shared" si="30"/>
        <v/>
      </c>
      <c r="K28" s="25" t="str">
        <f t="shared" si="30"/>
        <v/>
      </c>
      <c r="L28" s="25">
        <f>SUM(C28:K28)</f>
        <v>0</v>
      </c>
      <c r="M28" s="25" t="str">
        <f t="shared" ref="M28:U28" si="31">IF(M26="","",MAX(0,2-((M26-M27)-M$3)))</f>
        <v/>
      </c>
      <c r="N28" s="25" t="str">
        <f t="shared" si="31"/>
        <v/>
      </c>
      <c r="O28" s="25" t="str">
        <f t="shared" si="31"/>
        <v/>
      </c>
      <c r="P28" s="25" t="str">
        <f t="shared" si="31"/>
        <v/>
      </c>
      <c r="Q28" s="25" t="str">
        <f t="shared" si="31"/>
        <v/>
      </c>
      <c r="R28" s="25" t="str">
        <f t="shared" si="31"/>
        <v/>
      </c>
      <c r="S28" s="25" t="str">
        <f t="shared" si="31"/>
        <v/>
      </c>
      <c r="T28" s="25" t="str">
        <f t="shared" si="31"/>
        <v/>
      </c>
      <c r="U28" s="25" t="str">
        <f t="shared" si="31"/>
        <v/>
      </c>
      <c r="V28" s="25">
        <f>SUM(M28:U28)</f>
        <v>0</v>
      </c>
      <c r="W28" s="25">
        <f>L28+V28</f>
        <v>0</v>
      </c>
    </row>
    <row r="29" spans="1:23" ht="15" customHeight="1" x14ac:dyDescent="0.2">
      <c r="A29" s="23"/>
      <c r="B29" s="23"/>
      <c r="C29" s="23"/>
      <c r="D29" s="23"/>
      <c r="E29" s="23"/>
      <c r="F29" s="23"/>
      <c r="G29" s="23"/>
      <c r="H29" s="23"/>
      <c r="I29" s="23"/>
      <c r="J29" s="23"/>
      <c r="K29" s="23"/>
      <c r="L29" s="23"/>
      <c r="M29" s="23"/>
      <c r="N29" s="23"/>
      <c r="O29" s="23"/>
      <c r="P29" s="23"/>
      <c r="Q29" s="23"/>
      <c r="R29" s="23"/>
      <c r="S29" s="23"/>
      <c r="T29" s="23"/>
      <c r="U29" s="23"/>
      <c r="V29" s="23"/>
      <c r="W29" s="23"/>
    </row>
    <row r="30" spans="1:23" ht="15" customHeight="1" x14ac:dyDescent="0.2">
      <c r="A30" s="1" t="s">
        <v>97</v>
      </c>
      <c r="B30" s="1"/>
      <c r="C30" s="1"/>
      <c r="D30" s="1"/>
      <c r="E30" s="1"/>
      <c r="F30" s="1"/>
      <c r="G30" s="1"/>
      <c r="H30" s="1"/>
      <c r="I30" s="1"/>
      <c r="J30" s="1"/>
      <c r="K30" s="1"/>
      <c r="L30" s="1"/>
      <c r="M30" s="1"/>
      <c r="N30" s="1"/>
      <c r="O30" s="1"/>
      <c r="P30" s="1"/>
      <c r="Q30" s="1"/>
      <c r="R30" s="1"/>
      <c r="S30" s="1"/>
      <c r="T30" s="1"/>
      <c r="U30" s="1"/>
      <c r="V30" s="1"/>
      <c r="W30" s="1"/>
    </row>
  </sheetData>
  <mergeCells count="2">
    <mergeCell ref="A1:W1"/>
    <mergeCell ref="A30:W3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30"/>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baseColWidth="10" defaultColWidth="8.6640625" defaultRowHeight="15" x14ac:dyDescent="0.2"/>
  <cols>
    <col min="1" max="1" width="20" customWidth="1"/>
    <col min="2" max="2" width="7" customWidth="1"/>
    <col min="3" max="20" width="6.5" customWidth="1"/>
    <col min="21" max="21" width="7" customWidth="1"/>
    <col min="23" max="23" width="8" customWidth="1"/>
  </cols>
  <sheetData>
    <row r="1" spans="1:23" ht="24" customHeight="1" x14ac:dyDescent="0.2">
      <c r="A1" s="2" t="s">
        <v>101</v>
      </c>
      <c r="B1" s="2"/>
      <c r="C1" s="2"/>
      <c r="D1" s="2"/>
      <c r="E1" s="2"/>
      <c r="F1" s="2"/>
      <c r="G1" s="2"/>
      <c r="H1" s="2"/>
      <c r="I1" s="2"/>
      <c r="J1" s="2"/>
      <c r="K1" s="2"/>
      <c r="L1" s="2"/>
      <c r="M1" s="2"/>
      <c r="N1" s="2"/>
      <c r="O1" s="2"/>
      <c r="P1" s="2"/>
      <c r="Q1" s="2"/>
      <c r="R1" s="2"/>
      <c r="S1" s="2"/>
      <c r="T1" s="2"/>
      <c r="U1" s="2"/>
      <c r="V1" s="2"/>
      <c r="W1" s="2"/>
    </row>
    <row r="2" spans="1:23" ht="15" customHeight="1" x14ac:dyDescent="0.2">
      <c r="A2" s="14" t="s">
        <v>66</v>
      </c>
      <c r="B2" s="14" t="s">
        <v>67</v>
      </c>
      <c r="C2" s="14">
        <v>1</v>
      </c>
      <c r="D2" s="14">
        <v>2</v>
      </c>
      <c r="E2" s="14">
        <v>3</v>
      </c>
      <c r="F2" s="14">
        <v>4</v>
      </c>
      <c r="G2" s="14">
        <v>5</v>
      </c>
      <c r="H2" s="14">
        <v>6</v>
      </c>
      <c r="I2" s="14">
        <v>7</v>
      </c>
      <c r="J2" s="14">
        <v>8</v>
      </c>
      <c r="K2" s="14">
        <v>9</v>
      </c>
      <c r="L2" s="14" t="s">
        <v>68</v>
      </c>
      <c r="M2" s="14">
        <v>10</v>
      </c>
      <c r="N2" s="14">
        <v>11</v>
      </c>
      <c r="O2" s="14">
        <v>12</v>
      </c>
      <c r="P2" s="14">
        <v>13</v>
      </c>
      <c r="Q2" s="14">
        <v>14</v>
      </c>
      <c r="R2" s="14">
        <v>15</v>
      </c>
      <c r="S2" s="14">
        <v>16</v>
      </c>
      <c r="T2" s="14">
        <v>17</v>
      </c>
      <c r="U2" s="14">
        <v>18</v>
      </c>
      <c r="V2" s="14" t="s">
        <v>69</v>
      </c>
      <c r="W2" s="14" t="s">
        <v>70</v>
      </c>
    </row>
    <row r="3" spans="1:23" ht="15" customHeight="1" x14ac:dyDescent="0.2">
      <c r="A3" s="22" t="s">
        <v>71</v>
      </c>
      <c r="B3" s="23"/>
      <c r="C3" s="24"/>
      <c r="D3" s="24"/>
      <c r="E3" s="24"/>
      <c r="F3" s="24"/>
      <c r="G3" s="24"/>
      <c r="H3" s="24"/>
      <c r="I3" s="24"/>
      <c r="J3" s="24"/>
      <c r="K3" s="24"/>
      <c r="L3" s="25">
        <f>SUM(C3:K3)</f>
        <v>0</v>
      </c>
      <c r="M3" s="24"/>
      <c r="N3" s="24"/>
      <c r="O3" s="24"/>
      <c r="P3" s="24"/>
      <c r="Q3" s="24"/>
      <c r="R3" s="24"/>
      <c r="S3" s="24"/>
      <c r="T3" s="24"/>
      <c r="U3" s="24"/>
      <c r="V3" s="25">
        <f>SUM(M3:U3)</f>
        <v>0</v>
      </c>
      <c r="W3" s="25">
        <f>L3+V3</f>
        <v>0</v>
      </c>
    </row>
    <row r="4" spans="1:23" ht="15" customHeight="1" x14ac:dyDescent="0.2">
      <c r="A4" s="22" t="s">
        <v>72</v>
      </c>
      <c r="B4" s="23"/>
      <c r="C4" s="24"/>
      <c r="D4" s="24"/>
      <c r="E4" s="24"/>
      <c r="F4" s="24"/>
      <c r="G4" s="24"/>
      <c r="H4" s="24"/>
      <c r="I4" s="24"/>
      <c r="J4" s="24"/>
      <c r="K4" s="24"/>
      <c r="L4" s="23"/>
      <c r="M4" s="24"/>
      <c r="N4" s="24"/>
      <c r="O4" s="24"/>
      <c r="P4" s="24"/>
      <c r="Q4" s="24"/>
      <c r="R4" s="24"/>
      <c r="S4" s="24"/>
      <c r="T4" s="24"/>
      <c r="U4" s="24"/>
      <c r="V4" s="23"/>
      <c r="W4" s="23"/>
    </row>
    <row r="5" spans="1:23" ht="15" customHeight="1" x14ac:dyDescent="0.2">
      <c r="A5" s="26" t="s">
        <v>73</v>
      </c>
      <c r="B5" s="27">
        <f>'Course Handicaps'!H4</f>
        <v>22</v>
      </c>
      <c r="C5" s="24"/>
      <c r="D5" s="24"/>
      <c r="E5" s="24"/>
      <c r="F5" s="24"/>
      <c r="G5" s="24"/>
      <c r="H5" s="24"/>
      <c r="I5" s="24"/>
      <c r="J5" s="24"/>
      <c r="K5" s="24"/>
      <c r="L5" s="25" t="str">
        <f>IF(COUNT(C5:K5)=0,"",SUM(C5:K5))</f>
        <v/>
      </c>
      <c r="M5" s="24"/>
      <c r="N5" s="24"/>
      <c r="O5" s="24"/>
      <c r="P5" s="24"/>
      <c r="Q5" s="24"/>
      <c r="R5" s="24"/>
      <c r="S5" s="24"/>
      <c r="T5" s="24"/>
      <c r="U5" s="24"/>
      <c r="V5" s="25" t="str">
        <f>IF(COUNT(M5:U5)=0,"",SUM(M5:U5))</f>
        <v/>
      </c>
      <c r="W5" s="25" t="str">
        <f>IF(AND(L5="",V5=""),"",SUM(L5,V5))</f>
        <v/>
      </c>
    </row>
    <row r="6" spans="1:23" ht="15" customHeight="1" x14ac:dyDescent="0.2">
      <c r="A6" s="26" t="s">
        <v>74</v>
      </c>
      <c r="B6" s="23"/>
      <c r="C6" s="25">
        <f t="shared" ref="C6:K6" si="0">IF($B5="","",FLOOR($B5/18,1)+IF(MOD($B5,18)&gt;=C$4,1,0))</f>
        <v>2</v>
      </c>
      <c r="D6" s="25">
        <f t="shared" si="0"/>
        <v>2</v>
      </c>
      <c r="E6" s="25">
        <f t="shared" si="0"/>
        <v>2</v>
      </c>
      <c r="F6" s="25">
        <f t="shared" si="0"/>
        <v>2</v>
      </c>
      <c r="G6" s="25">
        <f t="shared" si="0"/>
        <v>2</v>
      </c>
      <c r="H6" s="25">
        <f t="shared" si="0"/>
        <v>2</v>
      </c>
      <c r="I6" s="25">
        <f t="shared" si="0"/>
        <v>2</v>
      </c>
      <c r="J6" s="25">
        <f t="shared" si="0"/>
        <v>2</v>
      </c>
      <c r="K6" s="25">
        <f t="shared" si="0"/>
        <v>2</v>
      </c>
      <c r="L6" s="25">
        <f>IF(COUNT(C6:K6)=0,"",SUM(C6:K6))</f>
        <v>18</v>
      </c>
      <c r="M6" s="25">
        <f t="shared" ref="M6:U6" si="1">IF($B5="","",FLOOR($B5/18,1)+IF(MOD($B5,18)&gt;=M$4,1,0))</f>
        <v>2</v>
      </c>
      <c r="N6" s="25">
        <f t="shared" si="1"/>
        <v>2</v>
      </c>
      <c r="O6" s="25">
        <f t="shared" si="1"/>
        <v>2</v>
      </c>
      <c r="P6" s="25">
        <f t="shared" si="1"/>
        <v>2</v>
      </c>
      <c r="Q6" s="25">
        <f t="shared" si="1"/>
        <v>2</v>
      </c>
      <c r="R6" s="25">
        <f t="shared" si="1"/>
        <v>2</v>
      </c>
      <c r="S6" s="25">
        <f t="shared" si="1"/>
        <v>2</v>
      </c>
      <c r="T6" s="25">
        <f t="shared" si="1"/>
        <v>2</v>
      </c>
      <c r="U6" s="25">
        <f t="shared" si="1"/>
        <v>2</v>
      </c>
      <c r="V6" s="25">
        <f>IF(COUNT(M6:U6)=0,"",SUM(M6:U6))</f>
        <v>18</v>
      </c>
      <c r="W6" s="25">
        <f>IF(AND(L6="",V6=""),"",SUM(L6,V6))</f>
        <v>36</v>
      </c>
    </row>
    <row r="7" spans="1:23" ht="15" customHeight="1" x14ac:dyDescent="0.2">
      <c r="A7" s="26" t="s">
        <v>75</v>
      </c>
      <c r="B7" s="23"/>
      <c r="C7" s="25" t="str">
        <f t="shared" ref="C7:K7" si="2">IF(C5="","",MAX(0,2-((C5-C6)-C$3)))</f>
        <v/>
      </c>
      <c r="D7" s="25" t="str">
        <f t="shared" si="2"/>
        <v/>
      </c>
      <c r="E7" s="25" t="str">
        <f t="shared" si="2"/>
        <v/>
      </c>
      <c r="F7" s="25" t="str">
        <f t="shared" si="2"/>
        <v/>
      </c>
      <c r="G7" s="25" t="str">
        <f t="shared" si="2"/>
        <v/>
      </c>
      <c r="H7" s="25" t="str">
        <f t="shared" si="2"/>
        <v/>
      </c>
      <c r="I7" s="25" t="str">
        <f t="shared" si="2"/>
        <v/>
      </c>
      <c r="J7" s="25" t="str">
        <f t="shared" si="2"/>
        <v/>
      </c>
      <c r="K7" s="25" t="str">
        <f t="shared" si="2"/>
        <v/>
      </c>
      <c r="L7" s="25">
        <f>SUM(C7:K7)</f>
        <v>0</v>
      </c>
      <c r="M7" s="25" t="str">
        <f t="shared" ref="M7:U7" si="3">IF(M5="","",MAX(0,2-((M5-M6)-M$3)))</f>
        <v/>
      </c>
      <c r="N7" s="25" t="str">
        <f t="shared" si="3"/>
        <v/>
      </c>
      <c r="O7" s="25" t="str">
        <f t="shared" si="3"/>
        <v/>
      </c>
      <c r="P7" s="25" t="str">
        <f t="shared" si="3"/>
        <v/>
      </c>
      <c r="Q7" s="25" t="str">
        <f t="shared" si="3"/>
        <v/>
      </c>
      <c r="R7" s="25" t="str">
        <f t="shared" si="3"/>
        <v/>
      </c>
      <c r="S7" s="25" t="str">
        <f t="shared" si="3"/>
        <v/>
      </c>
      <c r="T7" s="25" t="str">
        <f t="shared" si="3"/>
        <v/>
      </c>
      <c r="U7" s="25" t="str">
        <f t="shared" si="3"/>
        <v/>
      </c>
      <c r="V7" s="25">
        <f>SUM(M7:U7)</f>
        <v>0</v>
      </c>
      <c r="W7" s="25">
        <f>L7+V7</f>
        <v>0</v>
      </c>
    </row>
    <row r="8" spans="1:23" ht="15" customHeight="1" x14ac:dyDescent="0.2">
      <c r="A8" s="26" t="s">
        <v>76</v>
      </c>
      <c r="B8" s="27">
        <f>'Course Handicaps'!H5</f>
        <v>21</v>
      </c>
      <c r="C8" s="24"/>
      <c r="D8" s="24"/>
      <c r="E8" s="24"/>
      <c r="F8" s="24"/>
      <c r="G8" s="24"/>
      <c r="H8" s="24"/>
      <c r="I8" s="24"/>
      <c r="J8" s="24"/>
      <c r="K8" s="24"/>
      <c r="L8" s="25" t="str">
        <f>IF(COUNT(C8:K8)=0,"",SUM(C8:K8))</f>
        <v/>
      </c>
      <c r="M8" s="24"/>
      <c r="N8" s="24"/>
      <c r="O8" s="24"/>
      <c r="P8" s="24"/>
      <c r="Q8" s="24"/>
      <c r="R8" s="24"/>
      <c r="S8" s="24"/>
      <c r="T8" s="24"/>
      <c r="U8" s="24"/>
      <c r="V8" s="25" t="str">
        <f>IF(COUNT(M8:U8)=0,"",SUM(M8:U8))</f>
        <v/>
      </c>
      <c r="W8" s="25" t="str">
        <f>IF(AND(L8="",V8=""),"",SUM(L8,V8))</f>
        <v/>
      </c>
    </row>
    <row r="9" spans="1:23" ht="15" customHeight="1" x14ac:dyDescent="0.2">
      <c r="A9" s="26" t="s">
        <v>77</v>
      </c>
      <c r="B9" s="23"/>
      <c r="C9" s="25">
        <f t="shared" ref="C9:K9" si="4">IF($B8="","",FLOOR($B8/18,1)+IF(MOD($B8,18)&gt;=C$4,1,0))</f>
        <v>2</v>
      </c>
      <c r="D9" s="25">
        <f t="shared" si="4"/>
        <v>2</v>
      </c>
      <c r="E9" s="25">
        <f t="shared" si="4"/>
        <v>2</v>
      </c>
      <c r="F9" s="25">
        <f t="shared" si="4"/>
        <v>2</v>
      </c>
      <c r="G9" s="25">
        <f t="shared" si="4"/>
        <v>2</v>
      </c>
      <c r="H9" s="25">
        <f t="shared" si="4"/>
        <v>2</v>
      </c>
      <c r="I9" s="25">
        <f t="shared" si="4"/>
        <v>2</v>
      </c>
      <c r="J9" s="25">
        <f t="shared" si="4"/>
        <v>2</v>
      </c>
      <c r="K9" s="25">
        <f t="shared" si="4"/>
        <v>2</v>
      </c>
      <c r="L9" s="25">
        <f>IF(COUNT(C9:K9)=0,"",SUM(C9:K9))</f>
        <v>18</v>
      </c>
      <c r="M9" s="25">
        <f t="shared" ref="M9:U9" si="5">IF($B8="","",FLOOR($B8/18,1)+IF(MOD($B8,18)&gt;=M$4,1,0))</f>
        <v>2</v>
      </c>
      <c r="N9" s="25">
        <f t="shared" si="5"/>
        <v>2</v>
      </c>
      <c r="O9" s="25">
        <f t="shared" si="5"/>
        <v>2</v>
      </c>
      <c r="P9" s="25">
        <f t="shared" si="5"/>
        <v>2</v>
      </c>
      <c r="Q9" s="25">
        <f t="shared" si="5"/>
        <v>2</v>
      </c>
      <c r="R9" s="25">
        <f t="shared" si="5"/>
        <v>2</v>
      </c>
      <c r="S9" s="25">
        <f t="shared" si="5"/>
        <v>2</v>
      </c>
      <c r="T9" s="25">
        <f t="shared" si="5"/>
        <v>2</v>
      </c>
      <c r="U9" s="25">
        <f t="shared" si="5"/>
        <v>2</v>
      </c>
      <c r="V9" s="25">
        <f>IF(COUNT(M9:U9)=0,"",SUM(M9:U9))</f>
        <v>18</v>
      </c>
      <c r="W9" s="25">
        <f>IF(AND(L9="",V9=""),"",SUM(L9,V9))</f>
        <v>36</v>
      </c>
    </row>
    <row r="10" spans="1:23" ht="15" customHeight="1" x14ac:dyDescent="0.2">
      <c r="A10" s="26" t="s">
        <v>78</v>
      </c>
      <c r="B10" s="23"/>
      <c r="C10" s="25" t="str">
        <f t="shared" ref="C10:K10" si="6">IF(C8="","",MAX(0,2-((C8-C9)-C$3)))</f>
        <v/>
      </c>
      <c r="D10" s="25" t="str">
        <f t="shared" si="6"/>
        <v/>
      </c>
      <c r="E10" s="25" t="str">
        <f t="shared" si="6"/>
        <v/>
      </c>
      <c r="F10" s="25" t="str">
        <f t="shared" si="6"/>
        <v/>
      </c>
      <c r="G10" s="25" t="str">
        <f t="shared" si="6"/>
        <v/>
      </c>
      <c r="H10" s="25" t="str">
        <f t="shared" si="6"/>
        <v/>
      </c>
      <c r="I10" s="25" t="str">
        <f t="shared" si="6"/>
        <v/>
      </c>
      <c r="J10" s="25" t="str">
        <f t="shared" si="6"/>
        <v/>
      </c>
      <c r="K10" s="25" t="str">
        <f t="shared" si="6"/>
        <v/>
      </c>
      <c r="L10" s="25">
        <f>SUM(C10:K10)</f>
        <v>0</v>
      </c>
      <c r="M10" s="25" t="str">
        <f t="shared" ref="M10:U10" si="7">IF(M8="","",MAX(0,2-((M8-M9)-M$3)))</f>
        <v/>
      </c>
      <c r="N10" s="25" t="str">
        <f t="shared" si="7"/>
        <v/>
      </c>
      <c r="O10" s="25" t="str">
        <f t="shared" si="7"/>
        <v/>
      </c>
      <c r="P10" s="25" t="str">
        <f t="shared" si="7"/>
        <v/>
      </c>
      <c r="Q10" s="25" t="str">
        <f t="shared" si="7"/>
        <v/>
      </c>
      <c r="R10" s="25" t="str">
        <f t="shared" si="7"/>
        <v/>
      </c>
      <c r="S10" s="25" t="str">
        <f t="shared" si="7"/>
        <v/>
      </c>
      <c r="T10" s="25" t="str">
        <f t="shared" si="7"/>
        <v/>
      </c>
      <c r="U10" s="25" t="str">
        <f t="shared" si="7"/>
        <v/>
      </c>
      <c r="V10" s="25">
        <f>SUM(M10:U10)</f>
        <v>0</v>
      </c>
      <c r="W10" s="25">
        <f>L10+V10</f>
        <v>0</v>
      </c>
    </row>
    <row r="11" spans="1:23" ht="15" customHeight="1" x14ac:dyDescent="0.2">
      <c r="A11" s="26" t="s">
        <v>79</v>
      </c>
      <c r="B11" s="27">
        <f>'Course Handicaps'!H6</f>
        <v>16</v>
      </c>
      <c r="C11" s="24"/>
      <c r="D11" s="24"/>
      <c r="E11" s="24"/>
      <c r="F11" s="24"/>
      <c r="G11" s="24"/>
      <c r="H11" s="24"/>
      <c r="I11" s="24"/>
      <c r="J11" s="24"/>
      <c r="K11" s="24"/>
      <c r="L11" s="25" t="str">
        <f>IF(COUNT(C11:K11)=0,"",SUM(C11:K11))</f>
        <v/>
      </c>
      <c r="M11" s="24"/>
      <c r="N11" s="24"/>
      <c r="O11" s="24"/>
      <c r="P11" s="24"/>
      <c r="Q11" s="24"/>
      <c r="R11" s="24"/>
      <c r="S11" s="24"/>
      <c r="T11" s="24"/>
      <c r="U11" s="24"/>
      <c r="V11" s="25" t="str">
        <f>IF(COUNT(M11:U11)=0,"",SUM(M11:U11))</f>
        <v/>
      </c>
      <c r="W11" s="25" t="str">
        <f>IF(AND(L11="",V11=""),"",SUM(L11,V11))</f>
        <v/>
      </c>
    </row>
    <row r="12" spans="1:23" ht="15" customHeight="1" x14ac:dyDescent="0.2">
      <c r="A12" s="26" t="s">
        <v>80</v>
      </c>
      <c r="B12" s="23"/>
      <c r="C12" s="25">
        <f t="shared" ref="C12:K12" si="8">IF($B11="","",FLOOR($B11/18,1)+IF(MOD($B11,18)&gt;=C$4,1,0))</f>
        <v>1</v>
      </c>
      <c r="D12" s="25">
        <f t="shared" si="8"/>
        <v>1</v>
      </c>
      <c r="E12" s="25">
        <f t="shared" si="8"/>
        <v>1</v>
      </c>
      <c r="F12" s="25">
        <f t="shared" si="8"/>
        <v>1</v>
      </c>
      <c r="G12" s="25">
        <f t="shared" si="8"/>
        <v>1</v>
      </c>
      <c r="H12" s="25">
        <f t="shared" si="8"/>
        <v>1</v>
      </c>
      <c r="I12" s="25">
        <f t="shared" si="8"/>
        <v>1</v>
      </c>
      <c r="J12" s="25">
        <f t="shared" si="8"/>
        <v>1</v>
      </c>
      <c r="K12" s="25">
        <f t="shared" si="8"/>
        <v>1</v>
      </c>
      <c r="L12" s="25">
        <f>IF(COUNT(C12:K12)=0,"",SUM(C12:K12))</f>
        <v>9</v>
      </c>
      <c r="M12" s="25">
        <f t="shared" ref="M12:U12" si="9">IF($B11="","",FLOOR($B11/18,1)+IF(MOD($B11,18)&gt;=M$4,1,0))</f>
        <v>1</v>
      </c>
      <c r="N12" s="25">
        <f t="shared" si="9"/>
        <v>1</v>
      </c>
      <c r="O12" s="25">
        <f t="shared" si="9"/>
        <v>1</v>
      </c>
      <c r="P12" s="25">
        <f t="shared" si="9"/>
        <v>1</v>
      </c>
      <c r="Q12" s="25">
        <f t="shared" si="9"/>
        <v>1</v>
      </c>
      <c r="R12" s="25">
        <f t="shared" si="9"/>
        <v>1</v>
      </c>
      <c r="S12" s="25">
        <f t="shared" si="9"/>
        <v>1</v>
      </c>
      <c r="T12" s="25">
        <f t="shared" si="9"/>
        <v>1</v>
      </c>
      <c r="U12" s="25">
        <f t="shared" si="9"/>
        <v>1</v>
      </c>
      <c r="V12" s="25">
        <f>IF(COUNT(M12:U12)=0,"",SUM(M12:U12))</f>
        <v>9</v>
      </c>
      <c r="W12" s="25">
        <f>IF(AND(L12="",V12=""),"",SUM(L12,V12))</f>
        <v>18</v>
      </c>
    </row>
    <row r="13" spans="1:23" ht="15" customHeight="1" x14ac:dyDescent="0.2">
      <c r="A13" s="26" t="s">
        <v>81</v>
      </c>
      <c r="B13" s="23"/>
      <c r="C13" s="25" t="str">
        <f t="shared" ref="C13:K13" si="10">IF(C11="","",MAX(0,2-((C11-C12)-C$3)))</f>
        <v/>
      </c>
      <c r="D13" s="25" t="str">
        <f t="shared" si="10"/>
        <v/>
      </c>
      <c r="E13" s="25" t="str">
        <f t="shared" si="10"/>
        <v/>
      </c>
      <c r="F13" s="25" t="str">
        <f t="shared" si="10"/>
        <v/>
      </c>
      <c r="G13" s="25" t="str">
        <f t="shared" si="10"/>
        <v/>
      </c>
      <c r="H13" s="25" t="str">
        <f t="shared" si="10"/>
        <v/>
      </c>
      <c r="I13" s="25" t="str">
        <f t="shared" si="10"/>
        <v/>
      </c>
      <c r="J13" s="25" t="str">
        <f t="shared" si="10"/>
        <v/>
      </c>
      <c r="K13" s="25" t="str">
        <f t="shared" si="10"/>
        <v/>
      </c>
      <c r="L13" s="25">
        <f>SUM(C13:K13)</f>
        <v>0</v>
      </c>
      <c r="M13" s="25" t="str">
        <f t="shared" ref="M13:U13" si="11">IF(M11="","",MAX(0,2-((M11-M12)-M$3)))</f>
        <v/>
      </c>
      <c r="N13" s="25" t="str">
        <f t="shared" si="11"/>
        <v/>
      </c>
      <c r="O13" s="25" t="str">
        <f t="shared" si="11"/>
        <v/>
      </c>
      <c r="P13" s="25" t="str">
        <f t="shared" si="11"/>
        <v/>
      </c>
      <c r="Q13" s="25" t="str">
        <f t="shared" si="11"/>
        <v/>
      </c>
      <c r="R13" s="25" t="str">
        <f t="shared" si="11"/>
        <v/>
      </c>
      <c r="S13" s="25" t="str">
        <f t="shared" si="11"/>
        <v/>
      </c>
      <c r="T13" s="25" t="str">
        <f t="shared" si="11"/>
        <v/>
      </c>
      <c r="U13" s="25" t="str">
        <f t="shared" si="11"/>
        <v/>
      </c>
      <c r="V13" s="25">
        <f>SUM(M13:U13)</f>
        <v>0</v>
      </c>
      <c r="W13" s="25">
        <f>L13+V13</f>
        <v>0</v>
      </c>
    </row>
    <row r="14" spans="1:23" ht="15" customHeight="1" x14ac:dyDescent="0.2">
      <c r="A14" s="26" t="s">
        <v>82</v>
      </c>
      <c r="B14" s="27">
        <f>'Course Handicaps'!H7</f>
        <v>28</v>
      </c>
      <c r="C14" s="24"/>
      <c r="D14" s="24"/>
      <c r="E14" s="24"/>
      <c r="F14" s="24"/>
      <c r="G14" s="24"/>
      <c r="H14" s="24"/>
      <c r="I14" s="24"/>
      <c r="J14" s="24"/>
      <c r="K14" s="24"/>
      <c r="L14" s="25" t="str">
        <f>IF(COUNT(C14:K14)=0,"",SUM(C14:K14))</f>
        <v/>
      </c>
      <c r="M14" s="24"/>
      <c r="N14" s="24"/>
      <c r="O14" s="24"/>
      <c r="P14" s="24"/>
      <c r="Q14" s="24"/>
      <c r="R14" s="24"/>
      <c r="S14" s="24"/>
      <c r="T14" s="24"/>
      <c r="U14" s="24"/>
      <c r="V14" s="25" t="str">
        <f>IF(COUNT(M14:U14)=0,"",SUM(M14:U14))</f>
        <v/>
      </c>
      <c r="W14" s="25" t="str">
        <f>IF(AND(L14="",V14=""),"",SUM(L14,V14))</f>
        <v/>
      </c>
    </row>
    <row r="15" spans="1:23" ht="15" customHeight="1" x14ac:dyDescent="0.2">
      <c r="A15" s="26" t="s">
        <v>83</v>
      </c>
      <c r="B15" s="23"/>
      <c r="C15" s="25">
        <f t="shared" ref="C15:K15" si="12">IF($B14="","",FLOOR($B14/18,1)+IF(MOD($B14,18)&gt;=C$4,1,0))</f>
        <v>2</v>
      </c>
      <c r="D15" s="25">
        <f t="shared" si="12"/>
        <v>2</v>
      </c>
      <c r="E15" s="25">
        <f t="shared" si="12"/>
        <v>2</v>
      </c>
      <c r="F15" s="25">
        <f t="shared" si="12"/>
        <v>2</v>
      </c>
      <c r="G15" s="25">
        <f t="shared" si="12"/>
        <v>2</v>
      </c>
      <c r="H15" s="25">
        <f t="shared" si="12"/>
        <v>2</v>
      </c>
      <c r="I15" s="25">
        <f t="shared" si="12"/>
        <v>2</v>
      </c>
      <c r="J15" s="25">
        <f t="shared" si="12"/>
        <v>2</v>
      </c>
      <c r="K15" s="25">
        <f t="shared" si="12"/>
        <v>2</v>
      </c>
      <c r="L15" s="25">
        <f>IF(COUNT(C15:K15)=0,"",SUM(C15:K15))</f>
        <v>18</v>
      </c>
      <c r="M15" s="25">
        <f t="shared" ref="M15:U15" si="13">IF($B14="","",FLOOR($B14/18,1)+IF(MOD($B14,18)&gt;=M$4,1,0))</f>
        <v>2</v>
      </c>
      <c r="N15" s="25">
        <f t="shared" si="13"/>
        <v>2</v>
      </c>
      <c r="O15" s="25">
        <f t="shared" si="13"/>
        <v>2</v>
      </c>
      <c r="P15" s="25">
        <f t="shared" si="13"/>
        <v>2</v>
      </c>
      <c r="Q15" s="25">
        <f t="shared" si="13"/>
        <v>2</v>
      </c>
      <c r="R15" s="25">
        <f t="shared" si="13"/>
        <v>2</v>
      </c>
      <c r="S15" s="25">
        <f t="shared" si="13"/>
        <v>2</v>
      </c>
      <c r="T15" s="25">
        <f t="shared" si="13"/>
        <v>2</v>
      </c>
      <c r="U15" s="25">
        <f t="shared" si="13"/>
        <v>2</v>
      </c>
      <c r="V15" s="25">
        <f>IF(COUNT(M15:U15)=0,"",SUM(M15:U15))</f>
        <v>18</v>
      </c>
      <c r="W15" s="25">
        <f>IF(AND(L15="",V15=""),"",SUM(L15,V15))</f>
        <v>36</v>
      </c>
    </row>
    <row r="16" spans="1:23" ht="15" customHeight="1" x14ac:dyDescent="0.2">
      <c r="A16" s="26" t="s">
        <v>84</v>
      </c>
      <c r="B16" s="23"/>
      <c r="C16" s="25" t="str">
        <f t="shared" ref="C16:K16" si="14">IF(C14="","",MAX(0,2-((C14-C15)-C$3)))</f>
        <v/>
      </c>
      <c r="D16" s="25" t="str">
        <f t="shared" si="14"/>
        <v/>
      </c>
      <c r="E16" s="25" t="str">
        <f t="shared" si="14"/>
        <v/>
      </c>
      <c r="F16" s="25" t="str">
        <f t="shared" si="14"/>
        <v/>
      </c>
      <c r="G16" s="25" t="str">
        <f t="shared" si="14"/>
        <v/>
      </c>
      <c r="H16" s="25" t="str">
        <f t="shared" si="14"/>
        <v/>
      </c>
      <c r="I16" s="25" t="str">
        <f t="shared" si="14"/>
        <v/>
      </c>
      <c r="J16" s="25" t="str">
        <f t="shared" si="14"/>
        <v/>
      </c>
      <c r="K16" s="25" t="str">
        <f t="shared" si="14"/>
        <v/>
      </c>
      <c r="L16" s="25">
        <f>SUM(C16:K16)</f>
        <v>0</v>
      </c>
      <c r="M16" s="25" t="str">
        <f t="shared" ref="M16:U16" si="15">IF(M14="","",MAX(0,2-((M14-M15)-M$3)))</f>
        <v/>
      </c>
      <c r="N16" s="25" t="str">
        <f t="shared" si="15"/>
        <v/>
      </c>
      <c r="O16" s="25" t="str">
        <f t="shared" si="15"/>
        <v/>
      </c>
      <c r="P16" s="25" t="str">
        <f t="shared" si="15"/>
        <v/>
      </c>
      <c r="Q16" s="25" t="str">
        <f t="shared" si="15"/>
        <v/>
      </c>
      <c r="R16" s="25" t="str">
        <f t="shared" si="15"/>
        <v/>
      </c>
      <c r="S16" s="25" t="str">
        <f t="shared" si="15"/>
        <v/>
      </c>
      <c r="T16" s="25" t="str">
        <f t="shared" si="15"/>
        <v/>
      </c>
      <c r="U16" s="25" t="str">
        <f t="shared" si="15"/>
        <v/>
      </c>
      <c r="V16" s="25">
        <f>SUM(M16:U16)</f>
        <v>0</v>
      </c>
      <c r="W16" s="25">
        <f>L16+V16</f>
        <v>0</v>
      </c>
    </row>
    <row r="17" spans="1:23" ht="15" customHeight="1" x14ac:dyDescent="0.2">
      <c r="A17" s="26" t="s">
        <v>85</v>
      </c>
      <c r="B17" s="27">
        <f>'Course Handicaps'!H8</f>
        <v>32</v>
      </c>
      <c r="C17" s="24"/>
      <c r="D17" s="24"/>
      <c r="E17" s="24"/>
      <c r="F17" s="24"/>
      <c r="G17" s="24"/>
      <c r="H17" s="24"/>
      <c r="I17" s="24"/>
      <c r="J17" s="24"/>
      <c r="K17" s="24"/>
      <c r="L17" s="25" t="str">
        <f>IF(COUNT(C17:K17)=0,"",SUM(C17:K17))</f>
        <v/>
      </c>
      <c r="M17" s="24"/>
      <c r="N17" s="24"/>
      <c r="O17" s="24"/>
      <c r="P17" s="24"/>
      <c r="Q17" s="24"/>
      <c r="R17" s="24"/>
      <c r="S17" s="24"/>
      <c r="T17" s="24"/>
      <c r="U17" s="24"/>
      <c r="V17" s="25" t="str">
        <f>IF(COUNT(M17:U17)=0,"",SUM(M17:U17))</f>
        <v/>
      </c>
      <c r="W17" s="25" t="str">
        <f>IF(AND(L17="",V17=""),"",SUM(L17,V17))</f>
        <v/>
      </c>
    </row>
    <row r="18" spans="1:23" ht="15" customHeight="1" x14ac:dyDescent="0.2">
      <c r="A18" s="26" t="s">
        <v>86</v>
      </c>
      <c r="B18" s="23"/>
      <c r="C18" s="25">
        <f t="shared" ref="C18:K18" si="16">IF($B17="","",FLOOR($B17/18,1)+IF(MOD($B17,18)&gt;=C$4,1,0))</f>
        <v>2</v>
      </c>
      <c r="D18" s="25">
        <f t="shared" si="16"/>
        <v>2</v>
      </c>
      <c r="E18" s="25">
        <f t="shared" si="16"/>
        <v>2</v>
      </c>
      <c r="F18" s="25">
        <f t="shared" si="16"/>
        <v>2</v>
      </c>
      <c r="G18" s="25">
        <f t="shared" si="16"/>
        <v>2</v>
      </c>
      <c r="H18" s="25">
        <f t="shared" si="16"/>
        <v>2</v>
      </c>
      <c r="I18" s="25">
        <f t="shared" si="16"/>
        <v>2</v>
      </c>
      <c r="J18" s="25">
        <f t="shared" si="16"/>
        <v>2</v>
      </c>
      <c r="K18" s="25">
        <f t="shared" si="16"/>
        <v>2</v>
      </c>
      <c r="L18" s="25">
        <f>IF(COUNT(C18:K18)=0,"",SUM(C18:K18))</f>
        <v>18</v>
      </c>
      <c r="M18" s="25">
        <f t="shared" ref="M18:U18" si="17">IF($B17="","",FLOOR($B17/18,1)+IF(MOD($B17,18)&gt;=M$4,1,0))</f>
        <v>2</v>
      </c>
      <c r="N18" s="25">
        <f t="shared" si="17"/>
        <v>2</v>
      </c>
      <c r="O18" s="25">
        <f t="shared" si="17"/>
        <v>2</v>
      </c>
      <c r="P18" s="25">
        <f t="shared" si="17"/>
        <v>2</v>
      </c>
      <c r="Q18" s="25">
        <f t="shared" si="17"/>
        <v>2</v>
      </c>
      <c r="R18" s="25">
        <f t="shared" si="17"/>
        <v>2</v>
      </c>
      <c r="S18" s="25">
        <f t="shared" si="17"/>
        <v>2</v>
      </c>
      <c r="T18" s="25">
        <f t="shared" si="17"/>
        <v>2</v>
      </c>
      <c r="U18" s="25">
        <f t="shared" si="17"/>
        <v>2</v>
      </c>
      <c r="V18" s="25">
        <f>IF(COUNT(M18:U18)=0,"",SUM(M18:U18))</f>
        <v>18</v>
      </c>
      <c r="W18" s="25">
        <f>IF(AND(L18="",V18=""),"",SUM(L18,V18))</f>
        <v>36</v>
      </c>
    </row>
    <row r="19" spans="1:23" ht="15" customHeight="1" x14ac:dyDescent="0.2">
      <c r="A19" s="26" t="s">
        <v>87</v>
      </c>
      <c r="B19" s="23"/>
      <c r="C19" s="25" t="str">
        <f t="shared" ref="C19:K19" si="18">IF(C17="","",MAX(0,2-((C17-C18)-C$3)))</f>
        <v/>
      </c>
      <c r="D19" s="25" t="str">
        <f t="shared" si="18"/>
        <v/>
      </c>
      <c r="E19" s="25" t="str">
        <f t="shared" si="18"/>
        <v/>
      </c>
      <c r="F19" s="25" t="str">
        <f t="shared" si="18"/>
        <v/>
      </c>
      <c r="G19" s="25" t="str">
        <f t="shared" si="18"/>
        <v/>
      </c>
      <c r="H19" s="25" t="str">
        <f t="shared" si="18"/>
        <v/>
      </c>
      <c r="I19" s="25" t="str">
        <f t="shared" si="18"/>
        <v/>
      </c>
      <c r="J19" s="25" t="str">
        <f t="shared" si="18"/>
        <v/>
      </c>
      <c r="K19" s="25" t="str">
        <f t="shared" si="18"/>
        <v/>
      </c>
      <c r="L19" s="25">
        <f>SUM(C19:K19)</f>
        <v>0</v>
      </c>
      <c r="M19" s="25" t="str">
        <f t="shared" ref="M19:U19" si="19">IF(M17="","",MAX(0,2-((M17-M18)-M$3)))</f>
        <v/>
      </c>
      <c r="N19" s="25" t="str">
        <f t="shared" si="19"/>
        <v/>
      </c>
      <c r="O19" s="25" t="str">
        <f t="shared" si="19"/>
        <v/>
      </c>
      <c r="P19" s="25" t="str">
        <f t="shared" si="19"/>
        <v/>
      </c>
      <c r="Q19" s="25" t="str">
        <f t="shared" si="19"/>
        <v/>
      </c>
      <c r="R19" s="25" t="str">
        <f t="shared" si="19"/>
        <v/>
      </c>
      <c r="S19" s="25" t="str">
        <f t="shared" si="19"/>
        <v/>
      </c>
      <c r="T19" s="25" t="str">
        <f t="shared" si="19"/>
        <v/>
      </c>
      <c r="U19" s="25" t="str">
        <f t="shared" si="19"/>
        <v/>
      </c>
      <c r="V19" s="25">
        <f>SUM(M19:U19)</f>
        <v>0</v>
      </c>
      <c r="W19" s="25">
        <f>L19+V19</f>
        <v>0</v>
      </c>
    </row>
    <row r="20" spans="1:23" ht="15" customHeight="1" x14ac:dyDescent="0.2">
      <c r="A20" s="26" t="s">
        <v>88</v>
      </c>
      <c r="B20" s="27">
        <f>'Course Handicaps'!H9</f>
        <v>23</v>
      </c>
      <c r="C20" s="24"/>
      <c r="D20" s="24"/>
      <c r="E20" s="24"/>
      <c r="F20" s="24"/>
      <c r="G20" s="24"/>
      <c r="H20" s="24"/>
      <c r="I20" s="24"/>
      <c r="J20" s="24"/>
      <c r="K20" s="24"/>
      <c r="L20" s="25" t="str">
        <f>IF(COUNT(C20:K20)=0,"",SUM(C20:K20))</f>
        <v/>
      </c>
      <c r="M20" s="24"/>
      <c r="N20" s="24"/>
      <c r="O20" s="24"/>
      <c r="P20" s="24"/>
      <c r="Q20" s="24"/>
      <c r="R20" s="24"/>
      <c r="S20" s="24"/>
      <c r="T20" s="24"/>
      <c r="U20" s="24"/>
      <c r="V20" s="25" t="str">
        <f>IF(COUNT(M20:U20)=0,"",SUM(M20:U20))</f>
        <v/>
      </c>
      <c r="W20" s="25" t="str">
        <f>IF(AND(L20="",V20=""),"",SUM(L20,V20))</f>
        <v/>
      </c>
    </row>
    <row r="21" spans="1:23" ht="15" customHeight="1" x14ac:dyDescent="0.2">
      <c r="A21" s="26" t="s">
        <v>89</v>
      </c>
      <c r="B21" s="23"/>
      <c r="C21" s="25">
        <f t="shared" ref="C21:K21" si="20">IF($B20="","",FLOOR($B20/18,1)+IF(MOD($B20,18)&gt;=C$4,1,0))</f>
        <v>2</v>
      </c>
      <c r="D21" s="25">
        <f t="shared" si="20"/>
        <v>2</v>
      </c>
      <c r="E21" s="25">
        <f t="shared" si="20"/>
        <v>2</v>
      </c>
      <c r="F21" s="25">
        <f t="shared" si="20"/>
        <v>2</v>
      </c>
      <c r="G21" s="25">
        <f t="shared" si="20"/>
        <v>2</v>
      </c>
      <c r="H21" s="25">
        <f t="shared" si="20"/>
        <v>2</v>
      </c>
      <c r="I21" s="25">
        <f t="shared" si="20"/>
        <v>2</v>
      </c>
      <c r="J21" s="25">
        <f t="shared" si="20"/>
        <v>2</v>
      </c>
      <c r="K21" s="25">
        <f t="shared" si="20"/>
        <v>2</v>
      </c>
      <c r="L21" s="25">
        <f>IF(COUNT(C21:K21)=0,"",SUM(C21:K21))</f>
        <v>18</v>
      </c>
      <c r="M21" s="25">
        <f t="shared" ref="M21:U21" si="21">IF($B20="","",FLOOR($B20/18,1)+IF(MOD($B20,18)&gt;=M$4,1,0))</f>
        <v>2</v>
      </c>
      <c r="N21" s="25">
        <f t="shared" si="21"/>
        <v>2</v>
      </c>
      <c r="O21" s="25">
        <f t="shared" si="21"/>
        <v>2</v>
      </c>
      <c r="P21" s="25">
        <f t="shared" si="21"/>
        <v>2</v>
      </c>
      <c r="Q21" s="25">
        <f t="shared" si="21"/>
        <v>2</v>
      </c>
      <c r="R21" s="25">
        <f t="shared" si="21"/>
        <v>2</v>
      </c>
      <c r="S21" s="25">
        <f t="shared" si="21"/>
        <v>2</v>
      </c>
      <c r="T21" s="25">
        <f t="shared" si="21"/>
        <v>2</v>
      </c>
      <c r="U21" s="25">
        <f t="shared" si="21"/>
        <v>2</v>
      </c>
      <c r="V21" s="25">
        <f>IF(COUNT(M21:U21)=0,"",SUM(M21:U21))</f>
        <v>18</v>
      </c>
      <c r="W21" s="25">
        <f>IF(AND(L21="",V21=""),"",SUM(L21,V21))</f>
        <v>36</v>
      </c>
    </row>
    <row r="22" spans="1:23" ht="15" customHeight="1" x14ac:dyDescent="0.2">
      <c r="A22" s="26" t="s">
        <v>90</v>
      </c>
      <c r="B22" s="23"/>
      <c r="C22" s="25" t="str">
        <f t="shared" ref="C22:K22" si="22">IF(C20="","",MAX(0,2-((C20-C21)-C$3)))</f>
        <v/>
      </c>
      <c r="D22" s="25" t="str">
        <f t="shared" si="22"/>
        <v/>
      </c>
      <c r="E22" s="25" t="str">
        <f t="shared" si="22"/>
        <v/>
      </c>
      <c r="F22" s="25" t="str">
        <f t="shared" si="22"/>
        <v/>
      </c>
      <c r="G22" s="25" t="str">
        <f t="shared" si="22"/>
        <v/>
      </c>
      <c r="H22" s="25" t="str">
        <f t="shared" si="22"/>
        <v/>
      </c>
      <c r="I22" s="25" t="str">
        <f t="shared" si="22"/>
        <v/>
      </c>
      <c r="J22" s="25" t="str">
        <f t="shared" si="22"/>
        <v/>
      </c>
      <c r="K22" s="25" t="str">
        <f t="shared" si="22"/>
        <v/>
      </c>
      <c r="L22" s="25">
        <f>SUM(C22:K22)</f>
        <v>0</v>
      </c>
      <c r="M22" s="25" t="str">
        <f t="shared" ref="M22:U22" si="23">IF(M20="","",MAX(0,2-((M20-M21)-M$3)))</f>
        <v/>
      </c>
      <c r="N22" s="25" t="str">
        <f t="shared" si="23"/>
        <v/>
      </c>
      <c r="O22" s="25" t="str">
        <f t="shared" si="23"/>
        <v/>
      </c>
      <c r="P22" s="25" t="str">
        <f t="shared" si="23"/>
        <v/>
      </c>
      <c r="Q22" s="25" t="str">
        <f t="shared" si="23"/>
        <v/>
      </c>
      <c r="R22" s="25" t="str">
        <f t="shared" si="23"/>
        <v/>
      </c>
      <c r="S22" s="25" t="str">
        <f t="shared" si="23"/>
        <v/>
      </c>
      <c r="T22" s="25" t="str">
        <f t="shared" si="23"/>
        <v/>
      </c>
      <c r="U22" s="25" t="str">
        <f t="shared" si="23"/>
        <v/>
      </c>
      <c r="V22" s="25">
        <f>SUM(M22:U22)</f>
        <v>0</v>
      </c>
      <c r="W22" s="25">
        <f>L22+V22</f>
        <v>0</v>
      </c>
    </row>
    <row r="23" spans="1:23" ht="15" customHeight="1" x14ac:dyDescent="0.2">
      <c r="A23" s="26" t="s">
        <v>91</v>
      </c>
      <c r="B23" s="27">
        <f>'Course Handicaps'!H10</f>
        <v>19</v>
      </c>
      <c r="C23" s="24"/>
      <c r="D23" s="24"/>
      <c r="E23" s="24"/>
      <c r="F23" s="24"/>
      <c r="G23" s="24"/>
      <c r="H23" s="24"/>
      <c r="I23" s="24"/>
      <c r="J23" s="24"/>
      <c r="K23" s="24"/>
      <c r="L23" s="25" t="str">
        <f>IF(COUNT(C23:K23)=0,"",SUM(C23:K23))</f>
        <v/>
      </c>
      <c r="M23" s="24"/>
      <c r="N23" s="24"/>
      <c r="O23" s="24"/>
      <c r="P23" s="24"/>
      <c r="Q23" s="24"/>
      <c r="R23" s="24"/>
      <c r="S23" s="24"/>
      <c r="T23" s="24"/>
      <c r="U23" s="24"/>
      <c r="V23" s="25" t="str">
        <f>IF(COUNT(M23:U23)=0,"",SUM(M23:U23))</f>
        <v/>
      </c>
      <c r="W23" s="25" t="str">
        <f>IF(AND(L23="",V23=""),"",SUM(L23,V23))</f>
        <v/>
      </c>
    </row>
    <row r="24" spans="1:23" ht="15" customHeight="1" x14ac:dyDescent="0.2">
      <c r="A24" s="26" t="s">
        <v>92</v>
      </c>
      <c r="B24" s="23"/>
      <c r="C24" s="25">
        <f t="shared" ref="C24:K24" si="24">IF($B23="","",FLOOR($B23/18,1)+IF(MOD($B23,18)&gt;=C$4,1,0))</f>
        <v>2</v>
      </c>
      <c r="D24" s="25">
        <f t="shared" si="24"/>
        <v>2</v>
      </c>
      <c r="E24" s="25">
        <f t="shared" si="24"/>
        <v>2</v>
      </c>
      <c r="F24" s="25">
        <f t="shared" si="24"/>
        <v>2</v>
      </c>
      <c r="G24" s="25">
        <f t="shared" si="24"/>
        <v>2</v>
      </c>
      <c r="H24" s="25">
        <f t="shared" si="24"/>
        <v>2</v>
      </c>
      <c r="I24" s="25">
        <f t="shared" si="24"/>
        <v>2</v>
      </c>
      <c r="J24" s="25">
        <f t="shared" si="24"/>
        <v>2</v>
      </c>
      <c r="K24" s="25">
        <f t="shared" si="24"/>
        <v>2</v>
      </c>
      <c r="L24" s="25">
        <f>IF(COUNT(C24:K24)=0,"",SUM(C24:K24))</f>
        <v>18</v>
      </c>
      <c r="M24" s="25">
        <f t="shared" ref="M24:U24" si="25">IF($B23="","",FLOOR($B23/18,1)+IF(MOD($B23,18)&gt;=M$4,1,0))</f>
        <v>2</v>
      </c>
      <c r="N24" s="25">
        <f t="shared" si="25"/>
        <v>2</v>
      </c>
      <c r="O24" s="25">
        <f t="shared" si="25"/>
        <v>2</v>
      </c>
      <c r="P24" s="25">
        <f t="shared" si="25"/>
        <v>2</v>
      </c>
      <c r="Q24" s="25">
        <f t="shared" si="25"/>
        <v>2</v>
      </c>
      <c r="R24" s="25">
        <f t="shared" si="25"/>
        <v>2</v>
      </c>
      <c r="S24" s="25">
        <f t="shared" si="25"/>
        <v>2</v>
      </c>
      <c r="T24" s="25">
        <f t="shared" si="25"/>
        <v>2</v>
      </c>
      <c r="U24" s="25">
        <f t="shared" si="25"/>
        <v>2</v>
      </c>
      <c r="V24" s="25">
        <f>IF(COUNT(M24:U24)=0,"",SUM(M24:U24))</f>
        <v>18</v>
      </c>
      <c r="W24" s="25">
        <f>IF(AND(L24="",V24=""),"",SUM(L24,V24))</f>
        <v>36</v>
      </c>
    </row>
    <row r="25" spans="1:23" ht="15" customHeight="1" x14ac:dyDescent="0.2">
      <c r="A25" s="26" t="s">
        <v>93</v>
      </c>
      <c r="B25" s="23"/>
      <c r="C25" s="25" t="str">
        <f t="shared" ref="C25:K25" si="26">IF(C23="","",MAX(0,2-((C23-C24)-C$3)))</f>
        <v/>
      </c>
      <c r="D25" s="25" t="str">
        <f t="shared" si="26"/>
        <v/>
      </c>
      <c r="E25" s="25" t="str">
        <f t="shared" si="26"/>
        <v/>
      </c>
      <c r="F25" s="25" t="str">
        <f t="shared" si="26"/>
        <v/>
      </c>
      <c r="G25" s="25" t="str">
        <f t="shared" si="26"/>
        <v/>
      </c>
      <c r="H25" s="25" t="str">
        <f t="shared" si="26"/>
        <v/>
      </c>
      <c r="I25" s="25" t="str">
        <f t="shared" si="26"/>
        <v/>
      </c>
      <c r="J25" s="25" t="str">
        <f t="shared" si="26"/>
        <v/>
      </c>
      <c r="K25" s="25" t="str">
        <f t="shared" si="26"/>
        <v/>
      </c>
      <c r="L25" s="25">
        <f>SUM(C25:K25)</f>
        <v>0</v>
      </c>
      <c r="M25" s="25" t="str">
        <f t="shared" ref="M25:U25" si="27">IF(M23="","",MAX(0,2-((M23-M24)-M$3)))</f>
        <v/>
      </c>
      <c r="N25" s="25" t="str">
        <f t="shared" si="27"/>
        <v/>
      </c>
      <c r="O25" s="25" t="str">
        <f t="shared" si="27"/>
        <v/>
      </c>
      <c r="P25" s="25" t="str">
        <f t="shared" si="27"/>
        <v/>
      </c>
      <c r="Q25" s="25" t="str">
        <f t="shared" si="27"/>
        <v/>
      </c>
      <c r="R25" s="25" t="str">
        <f t="shared" si="27"/>
        <v/>
      </c>
      <c r="S25" s="25" t="str">
        <f t="shared" si="27"/>
        <v/>
      </c>
      <c r="T25" s="25" t="str">
        <f t="shared" si="27"/>
        <v/>
      </c>
      <c r="U25" s="25" t="str">
        <f t="shared" si="27"/>
        <v/>
      </c>
      <c r="V25" s="25">
        <f>SUM(M25:U25)</f>
        <v>0</v>
      </c>
      <c r="W25" s="25">
        <f>L25+V25</f>
        <v>0</v>
      </c>
    </row>
    <row r="26" spans="1:23" ht="15" customHeight="1" x14ac:dyDescent="0.2">
      <c r="A26" s="26" t="s">
        <v>94</v>
      </c>
      <c r="B26" s="27">
        <f>'Course Handicaps'!H11</f>
        <v>31</v>
      </c>
      <c r="C26" s="24"/>
      <c r="D26" s="24"/>
      <c r="E26" s="24"/>
      <c r="F26" s="24"/>
      <c r="G26" s="24"/>
      <c r="H26" s="24"/>
      <c r="I26" s="24"/>
      <c r="J26" s="24"/>
      <c r="K26" s="24"/>
      <c r="L26" s="25" t="str">
        <f>IF(COUNT(C26:K26)=0,"",SUM(C26:K26))</f>
        <v/>
      </c>
      <c r="M26" s="24"/>
      <c r="N26" s="24"/>
      <c r="O26" s="24"/>
      <c r="P26" s="24"/>
      <c r="Q26" s="24"/>
      <c r="R26" s="24"/>
      <c r="S26" s="24"/>
      <c r="T26" s="24"/>
      <c r="U26" s="24"/>
      <c r="V26" s="25" t="str">
        <f>IF(COUNT(M26:U26)=0,"",SUM(M26:U26))</f>
        <v/>
      </c>
      <c r="W26" s="25" t="str">
        <f>IF(AND(L26="",V26=""),"",SUM(L26,V26))</f>
        <v/>
      </c>
    </row>
    <row r="27" spans="1:23" ht="15" customHeight="1" x14ac:dyDescent="0.2">
      <c r="A27" s="26" t="s">
        <v>95</v>
      </c>
      <c r="B27" s="23"/>
      <c r="C27" s="25">
        <f t="shared" ref="C27:K27" si="28">IF($B26="","",FLOOR($B26/18,1)+IF(MOD($B26,18)&gt;=C$4,1,0))</f>
        <v>2</v>
      </c>
      <c r="D27" s="25">
        <f t="shared" si="28"/>
        <v>2</v>
      </c>
      <c r="E27" s="25">
        <f t="shared" si="28"/>
        <v>2</v>
      </c>
      <c r="F27" s="25">
        <f t="shared" si="28"/>
        <v>2</v>
      </c>
      <c r="G27" s="25">
        <f t="shared" si="28"/>
        <v>2</v>
      </c>
      <c r="H27" s="25">
        <f t="shared" si="28"/>
        <v>2</v>
      </c>
      <c r="I27" s="25">
        <f t="shared" si="28"/>
        <v>2</v>
      </c>
      <c r="J27" s="25">
        <f t="shared" si="28"/>
        <v>2</v>
      </c>
      <c r="K27" s="25">
        <f t="shared" si="28"/>
        <v>2</v>
      </c>
      <c r="L27" s="25">
        <f>IF(COUNT(C27:K27)=0,"",SUM(C27:K27))</f>
        <v>18</v>
      </c>
      <c r="M27" s="25">
        <f t="shared" ref="M27:U27" si="29">IF($B26="","",FLOOR($B26/18,1)+IF(MOD($B26,18)&gt;=M$4,1,0))</f>
        <v>2</v>
      </c>
      <c r="N27" s="25">
        <f t="shared" si="29"/>
        <v>2</v>
      </c>
      <c r="O27" s="25">
        <f t="shared" si="29"/>
        <v>2</v>
      </c>
      <c r="P27" s="25">
        <f t="shared" si="29"/>
        <v>2</v>
      </c>
      <c r="Q27" s="25">
        <f t="shared" si="29"/>
        <v>2</v>
      </c>
      <c r="R27" s="25">
        <f t="shared" si="29"/>
        <v>2</v>
      </c>
      <c r="S27" s="25">
        <f t="shared" si="29"/>
        <v>2</v>
      </c>
      <c r="T27" s="25">
        <f t="shared" si="29"/>
        <v>2</v>
      </c>
      <c r="U27" s="25">
        <f t="shared" si="29"/>
        <v>2</v>
      </c>
      <c r="V27" s="25">
        <f>IF(COUNT(M27:U27)=0,"",SUM(M27:U27))</f>
        <v>18</v>
      </c>
      <c r="W27" s="25">
        <f>IF(AND(L27="",V27=""),"",SUM(L27,V27))</f>
        <v>36</v>
      </c>
    </row>
    <row r="28" spans="1:23" ht="15" customHeight="1" x14ac:dyDescent="0.2">
      <c r="A28" s="26" t="s">
        <v>96</v>
      </c>
      <c r="B28" s="23"/>
      <c r="C28" s="25" t="str">
        <f t="shared" ref="C28:K28" si="30">IF(C26="","",MAX(0,2-((C26-C27)-C$3)))</f>
        <v/>
      </c>
      <c r="D28" s="25" t="str">
        <f t="shared" si="30"/>
        <v/>
      </c>
      <c r="E28" s="25" t="str">
        <f t="shared" si="30"/>
        <v/>
      </c>
      <c r="F28" s="25" t="str">
        <f t="shared" si="30"/>
        <v/>
      </c>
      <c r="G28" s="25" t="str">
        <f t="shared" si="30"/>
        <v/>
      </c>
      <c r="H28" s="25" t="str">
        <f t="shared" si="30"/>
        <v/>
      </c>
      <c r="I28" s="25" t="str">
        <f t="shared" si="30"/>
        <v/>
      </c>
      <c r="J28" s="25" t="str">
        <f t="shared" si="30"/>
        <v/>
      </c>
      <c r="K28" s="25" t="str">
        <f t="shared" si="30"/>
        <v/>
      </c>
      <c r="L28" s="25">
        <f>SUM(C28:K28)</f>
        <v>0</v>
      </c>
      <c r="M28" s="25" t="str">
        <f t="shared" ref="M28:U28" si="31">IF(M26="","",MAX(0,2-((M26-M27)-M$3)))</f>
        <v/>
      </c>
      <c r="N28" s="25" t="str">
        <f t="shared" si="31"/>
        <v/>
      </c>
      <c r="O28" s="25" t="str">
        <f t="shared" si="31"/>
        <v/>
      </c>
      <c r="P28" s="25" t="str">
        <f t="shared" si="31"/>
        <v/>
      </c>
      <c r="Q28" s="25" t="str">
        <f t="shared" si="31"/>
        <v/>
      </c>
      <c r="R28" s="25" t="str">
        <f t="shared" si="31"/>
        <v/>
      </c>
      <c r="S28" s="25" t="str">
        <f t="shared" si="31"/>
        <v/>
      </c>
      <c r="T28" s="25" t="str">
        <f t="shared" si="31"/>
        <v/>
      </c>
      <c r="U28" s="25" t="str">
        <f t="shared" si="31"/>
        <v/>
      </c>
      <c r="V28" s="25">
        <f>SUM(M28:U28)</f>
        <v>0</v>
      </c>
      <c r="W28" s="25">
        <f>L28+V28</f>
        <v>0</v>
      </c>
    </row>
    <row r="29" spans="1:23" ht="15" customHeight="1" x14ac:dyDescent="0.2">
      <c r="A29" s="23"/>
      <c r="B29" s="23"/>
      <c r="C29" s="23"/>
      <c r="D29" s="23"/>
      <c r="E29" s="23"/>
      <c r="F29" s="23"/>
      <c r="G29" s="23"/>
      <c r="H29" s="23"/>
      <c r="I29" s="23"/>
      <c r="J29" s="23"/>
      <c r="K29" s="23"/>
      <c r="L29" s="23"/>
      <c r="M29" s="23"/>
      <c r="N29" s="23"/>
      <c r="O29" s="23"/>
      <c r="P29" s="23"/>
      <c r="Q29" s="23"/>
      <c r="R29" s="23"/>
      <c r="S29" s="23"/>
      <c r="T29" s="23"/>
      <c r="U29" s="23"/>
      <c r="V29" s="23"/>
      <c r="W29" s="23"/>
    </row>
    <row r="30" spans="1:23" ht="15" customHeight="1" x14ac:dyDescent="0.2">
      <c r="A30" s="1" t="s">
        <v>97</v>
      </c>
      <c r="B30" s="1"/>
      <c r="C30" s="1"/>
      <c r="D30" s="1"/>
      <c r="E30" s="1"/>
      <c r="F30" s="1"/>
      <c r="G30" s="1"/>
      <c r="H30" s="1"/>
      <c r="I30" s="1"/>
      <c r="J30" s="1"/>
      <c r="K30" s="1"/>
      <c r="L30" s="1"/>
      <c r="M30" s="1"/>
      <c r="N30" s="1"/>
      <c r="O30" s="1"/>
      <c r="P30" s="1"/>
      <c r="Q30" s="1"/>
      <c r="R30" s="1"/>
      <c r="S30" s="1"/>
      <c r="T30" s="1"/>
      <c r="U30" s="1"/>
      <c r="V30" s="1"/>
      <c r="W30" s="1"/>
    </row>
  </sheetData>
  <mergeCells count="2">
    <mergeCell ref="A1:W1"/>
    <mergeCell ref="A30:W30"/>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3"/>
  <sheetViews>
    <sheetView showGridLines="0" zoomScaleNormal="100" workbookViewId="0">
      <selection sqref="A1:I1"/>
    </sheetView>
  </sheetViews>
  <sheetFormatPr baseColWidth="10" defaultColWidth="8.6640625" defaultRowHeight="15" x14ac:dyDescent="0.2"/>
  <cols>
    <col min="1" max="1" width="4" customWidth="1"/>
    <col min="2" max="2" width="18" customWidth="1"/>
    <col min="3" max="3" width="12" customWidth="1"/>
    <col min="4" max="4" width="14" customWidth="1"/>
    <col min="5" max="5" width="20" customWidth="1"/>
    <col min="6" max="6" width="12" customWidth="1"/>
    <col min="7" max="7" width="14" customWidth="1"/>
    <col min="8" max="8" width="10" customWidth="1"/>
    <col min="9" max="9" width="8" customWidth="1"/>
  </cols>
  <sheetData>
    <row r="1" spans="1:9" ht="25.5" customHeight="1" x14ac:dyDescent="0.2">
      <c r="A1" s="7" t="s">
        <v>102</v>
      </c>
      <c r="B1" s="7"/>
      <c r="C1" s="7"/>
      <c r="D1" s="7"/>
      <c r="E1" s="7"/>
      <c r="F1" s="7"/>
      <c r="G1" s="7"/>
      <c r="H1" s="7"/>
      <c r="I1" s="7"/>
    </row>
    <row r="3" spans="1:9" ht="30" customHeight="1" x14ac:dyDescent="0.2">
      <c r="A3" s="28" t="s">
        <v>35</v>
      </c>
      <c r="B3" s="28" t="s">
        <v>36</v>
      </c>
      <c r="C3" s="28" t="s">
        <v>53</v>
      </c>
      <c r="D3" s="28" t="s">
        <v>103</v>
      </c>
      <c r="E3" s="28" t="s">
        <v>104</v>
      </c>
      <c r="F3" s="28" t="s">
        <v>105</v>
      </c>
      <c r="G3" s="28" t="s">
        <v>106</v>
      </c>
      <c r="H3" s="28" t="s">
        <v>107</v>
      </c>
      <c r="I3" s="28" t="s">
        <v>108</v>
      </c>
    </row>
    <row r="4" spans="1:9" ht="15" customHeight="1" x14ac:dyDescent="0.2">
      <c r="A4" s="15">
        <v>1</v>
      </c>
      <c r="B4" s="18" t="s">
        <v>40</v>
      </c>
      <c r="C4" s="15">
        <f>Players!C4</f>
        <v>18.7</v>
      </c>
      <c r="D4" s="15">
        <f>'Rd1 - Eden'!W7</f>
        <v>38</v>
      </c>
      <c r="E4" s="15">
        <f>MAX('Rd2 - Old Course'!W7,'Rd2 Alt - Leven'!W7)</f>
        <v>0</v>
      </c>
      <c r="F4" s="15">
        <f>'Rd3 - Crail'!W7</f>
        <v>0</v>
      </c>
      <c r="G4" s="15">
        <f>'Rd4 - Craigtoun'!W7</f>
        <v>0</v>
      </c>
      <c r="H4" s="21">
        <f t="shared" ref="H4:H11" si="0">SUM(D4:G4)</f>
        <v>38</v>
      </c>
      <c r="I4" s="15">
        <f t="shared" ref="I4:I11" si="1">RANK(H4,$H$4:$H$11,0)</f>
        <v>2</v>
      </c>
    </row>
    <row r="5" spans="1:9" ht="15" customHeight="1" x14ac:dyDescent="0.2">
      <c r="A5" s="15">
        <v>2</v>
      </c>
      <c r="B5" s="18" t="s">
        <v>42</v>
      </c>
      <c r="C5" s="15">
        <f>Players!C5</f>
        <v>18.5</v>
      </c>
      <c r="D5" s="15">
        <f>'Rd1 - Eden'!W10</f>
        <v>39</v>
      </c>
      <c r="E5" s="15">
        <f>MAX('Rd2 - Old Course'!W10,'Rd2 Alt - Leven'!W10)</f>
        <v>0</v>
      </c>
      <c r="F5" s="15">
        <f>'Rd3 - Crail'!W10</f>
        <v>0</v>
      </c>
      <c r="G5" s="15">
        <f>'Rd4 - Craigtoun'!W10</f>
        <v>0</v>
      </c>
      <c r="H5" s="21">
        <f t="shared" si="0"/>
        <v>39</v>
      </c>
      <c r="I5" s="15">
        <f t="shared" si="1"/>
        <v>1</v>
      </c>
    </row>
    <row r="6" spans="1:9" ht="15" customHeight="1" x14ac:dyDescent="0.2">
      <c r="A6" s="15">
        <v>3</v>
      </c>
      <c r="B6" s="18" t="s">
        <v>43</v>
      </c>
      <c r="C6" s="15">
        <f>Players!C6</f>
        <v>12</v>
      </c>
      <c r="D6" s="15">
        <f>'Rd1 - Eden'!W13</f>
        <v>36</v>
      </c>
      <c r="E6" s="15">
        <f>MAX('Rd2 - Old Course'!W13,'Rd2 Alt - Leven'!W13)</f>
        <v>0</v>
      </c>
      <c r="F6" s="15">
        <f>'Rd3 - Crail'!W13</f>
        <v>0</v>
      </c>
      <c r="G6" s="15">
        <f>'Rd4 - Craigtoun'!W13</f>
        <v>0</v>
      </c>
      <c r="H6" s="21">
        <f t="shared" si="0"/>
        <v>36</v>
      </c>
      <c r="I6" s="15">
        <f t="shared" si="1"/>
        <v>3</v>
      </c>
    </row>
    <row r="7" spans="1:9" ht="15" customHeight="1" x14ac:dyDescent="0.2">
      <c r="A7" s="15">
        <v>4</v>
      </c>
      <c r="B7" s="18" t="s">
        <v>45</v>
      </c>
      <c r="C7" s="15">
        <f>Players!C7</f>
        <v>22.5</v>
      </c>
      <c r="D7" s="15">
        <f>'Rd1 - Eden'!W16</f>
        <v>33</v>
      </c>
      <c r="E7" s="15">
        <f>MAX('Rd2 - Old Course'!W16,'Rd2 Alt - Leven'!W16)</f>
        <v>0</v>
      </c>
      <c r="F7" s="15">
        <f>'Rd3 - Crail'!W16</f>
        <v>0</v>
      </c>
      <c r="G7" s="15">
        <f>'Rd4 - Craigtoun'!W16</f>
        <v>0</v>
      </c>
      <c r="H7" s="21">
        <f t="shared" si="0"/>
        <v>33</v>
      </c>
      <c r="I7" s="15">
        <f t="shared" si="1"/>
        <v>7</v>
      </c>
    </row>
    <row r="8" spans="1:9" ht="15" customHeight="1" x14ac:dyDescent="0.2">
      <c r="A8" s="15">
        <v>5</v>
      </c>
      <c r="B8" s="18" t="s">
        <v>46</v>
      </c>
      <c r="C8" s="15">
        <f>Players!C8</f>
        <v>25.6</v>
      </c>
      <c r="D8" s="15">
        <f>'Rd1 - Eden'!W19</f>
        <v>32</v>
      </c>
      <c r="E8" s="15">
        <f>MAX('Rd2 - Old Course'!W19,'Rd2 Alt - Leven'!W19)</f>
        <v>0</v>
      </c>
      <c r="F8" s="15">
        <f>'Rd3 - Crail'!W19</f>
        <v>0</v>
      </c>
      <c r="G8" s="15">
        <f>'Rd4 - Craigtoun'!W19</f>
        <v>0</v>
      </c>
      <c r="H8" s="21">
        <f t="shared" si="0"/>
        <v>32</v>
      </c>
      <c r="I8" s="15">
        <f t="shared" si="1"/>
        <v>8</v>
      </c>
    </row>
    <row r="9" spans="1:9" ht="15" customHeight="1" x14ac:dyDescent="0.2">
      <c r="A9" s="15">
        <v>6</v>
      </c>
      <c r="B9" s="18" t="s">
        <v>47</v>
      </c>
      <c r="C9" s="15">
        <f>Players!C9</f>
        <v>18</v>
      </c>
      <c r="D9" s="15">
        <f>'Rd1 - Eden'!W22</f>
        <v>34</v>
      </c>
      <c r="E9" s="15">
        <f>MAX('Rd2 - Old Course'!W22,'Rd2 Alt - Leven'!W22)</f>
        <v>0</v>
      </c>
      <c r="F9" s="15">
        <f>'Rd3 - Crail'!W22</f>
        <v>0</v>
      </c>
      <c r="G9" s="15">
        <f>'Rd4 - Craigtoun'!W22</f>
        <v>0</v>
      </c>
      <c r="H9" s="21">
        <f t="shared" si="0"/>
        <v>34</v>
      </c>
      <c r="I9" s="15">
        <f t="shared" si="1"/>
        <v>6</v>
      </c>
    </row>
    <row r="10" spans="1:9" ht="15" customHeight="1" x14ac:dyDescent="0.2">
      <c r="A10" s="15">
        <v>7</v>
      </c>
      <c r="B10" s="18" t="s">
        <v>48</v>
      </c>
      <c r="C10" s="15">
        <f>Players!C10</f>
        <v>14.9</v>
      </c>
      <c r="D10" s="15">
        <f>'Rd1 - Eden'!W25</f>
        <v>35</v>
      </c>
      <c r="E10" s="15">
        <f>MAX('Rd2 - Old Course'!W25,'Rd2 Alt - Leven'!W25)</f>
        <v>0</v>
      </c>
      <c r="F10" s="15">
        <f>'Rd3 - Crail'!W25</f>
        <v>0</v>
      </c>
      <c r="G10" s="15">
        <f>'Rd4 - Craigtoun'!W25</f>
        <v>0</v>
      </c>
      <c r="H10" s="21">
        <f t="shared" si="0"/>
        <v>35</v>
      </c>
      <c r="I10" s="15">
        <f t="shared" si="1"/>
        <v>5</v>
      </c>
    </row>
    <row r="11" spans="1:9" ht="15" customHeight="1" x14ac:dyDescent="0.2">
      <c r="A11" s="15">
        <v>8</v>
      </c>
      <c r="B11" s="18" t="s">
        <v>49</v>
      </c>
      <c r="C11" s="15">
        <f>Players!C11</f>
        <v>25.1</v>
      </c>
      <c r="D11" s="15">
        <f>'Rd1 - Eden'!W28</f>
        <v>36</v>
      </c>
      <c r="E11" s="15">
        <f>MAX('Rd2 - Old Course'!W28,'Rd2 Alt - Leven'!W28)</f>
        <v>0</v>
      </c>
      <c r="F11" s="15">
        <f>'Rd3 - Crail'!W28</f>
        <v>0</v>
      </c>
      <c r="G11" s="15">
        <f>'Rd4 - Craigtoun'!W28</f>
        <v>0</v>
      </c>
      <c r="H11" s="21">
        <f t="shared" si="0"/>
        <v>36</v>
      </c>
      <c r="I11" s="15">
        <f t="shared" si="1"/>
        <v>3</v>
      </c>
    </row>
    <row r="13" spans="1:9" ht="15" customHeight="1" x14ac:dyDescent="0.2">
      <c r="B13" s="6" t="s">
        <v>109</v>
      </c>
      <c r="C13" s="6"/>
      <c r="D13" s="6"/>
      <c r="E13" s="6"/>
      <c r="F13" s="6"/>
      <c r="G13" s="6"/>
      <c r="H13" s="6"/>
      <c r="I13" s="6"/>
    </row>
  </sheetData>
  <mergeCells count="2">
    <mergeCell ref="A1:I1"/>
    <mergeCell ref="B13:I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Rules</vt:lpstr>
      <vt:lpstr>Players</vt:lpstr>
      <vt:lpstr>Course Handicaps</vt:lpstr>
      <vt:lpstr>Rd1 - Eden</vt:lpstr>
      <vt:lpstr>Rd2 - Old Course</vt:lpstr>
      <vt:lpstr>Rd2 Alt - Leven</vt:lpstr>
      <vt:lpstr>Rd3 - Crail</vt:lpstr>
      <vt:lpstr>Rd4 - Craigtoun</vt:lpstr>
      <vt:lpstr>Leaderboard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Andrew Duggan</cp:lastModifiedBy>
  <cp:revision>0</cp:revision>
  <dcterms:created xsi:type="dcterms:W3CDTF">2026-07-12T21:28:35Z</dcterms:created>
  <dcterms:modified xsi:type="dcterms:W3CDTF">2026-07-13T21:18:04Z</dcterms:modified>
  <dc:language>en-US</dc:language>
</cp:coreProperties>
</file>