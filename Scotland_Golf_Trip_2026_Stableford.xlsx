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ules" sheetId="1" state="visible" r:id="rId3"/>
    <sheet name="Players" sheetId="2" state="visible" r:id="rId4"/>
    <sheet name="Course Handicaps" sheetId="3" state="visible" r:id="rId5"/>
    <sheet name="Rd1 - Eden" sheetId="4" state="visible" r:id="rId6"/>
    <sheet name="Rd2 - Old Course" sheetId="5" state="visible" r:id="rId7"/>
    <sheet name="Rd2 Alt - Leven" sheetId="6" state="visible" r:id="rId8"/>
    <sheet name="Rd3 - Crail" sheetId="7" state="visible" r:id="rId9"/>
    <sheet name="Rd4 - Craigtoun" sheetId="8" state="visible" r:id="rId10"/>
    <sheet name="Leaderboard"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<sst xmlns="http://schemas.openxmlformats.org/spreadsheetml/2006/main" count="258" uniqueCount="111">
  <si>
    <t xml:space="preserve">Scotland Golf Trip 2026 — Stableford Competition Rules</t>
  </si>
  <si>
    <t xml:space="preserve">What is Stableford?</t>
  </si>
  <si>
    <t xml:space="preserve">Stableford is a points-based scoring format. Instead of counting total strokes (stroke play), you score POINTS on every hole based on how your net score compares to par. Highest total points wins — not lowest strokes. A blow-up hole only costs you the points for that hole (min. 0), so one bad hole can't wreck your whole round the way it can in stroke play. That makes it ideal for a trip with mixed handicaps and a few pints the night before.</t>
  </si>
  <si>
    <t xml:space="preserve">Format for this trip: Individual Net Stableford</t>
  </si>
  <si>
    <t xml:space="preserve">Each player competes as an individual (not teams). Each player's handicap strokes are applied to give everyone a fair chance regardless of ability — see 'Handicap Strokes' below.</t>
  </si>
  <si>
    <t xml:space="preserve">Points Table (per hole, based on NET score vs. Par)</t>
  </si>
  <si>
    <t xml:space="preserve">Net Score vs. Par</t>
  </si>
  <si>
    <t xml:space="preserve">Points</t>
  </si>
  <si>
    <t xml:space="preserve">2 or more over par (net double bogey or worse)</t>
  </si>
  <si>
    <t xml:space="preserve">0</t>
  </si>
  <si>
    <t xml:space="preserve">1 over par (net bogey)</t>
  </si>
  <si>
    <t xml:space="preserve">1</t>
  </si>
  <si>
    <t xml:space="preserve">Par (net)</t>
  </si>
  <si>
    <t xml:space="preserve">2</t>
  </si>
  <si>
    <t xml:space="preserve">1 under par (net birdie)</t>
  </si>
  <si>
    <t xml:space="preserve">3</t>
  </si>
  <si>
    <t xml:space="preserve">2 under par (net eagle)</t>
  </si>
  <si>
    <t xml:space="preserve">4</t>
  </si>
  <si>
    <t xml:space="preserve">3 under par (net albatross)</t>
  </si>
  <si>
    <t xml:space="preserve">5</t>
  </si>
  <si>
    <t xml:space="preserve">Handicap Strokes — how many shots you get, and on which holes</t>
  </si>
  <si>
    <t xml:space="preserve">1) Each player has a Handicap Index (see the Players tab) — this doesn't change during the trip.</t>
  </si>
  <si>
    <t xml:space="preserve">2) Each course converts that Index into a Course Handicap using ITS OWN Slope Rating and Course Rating (that math is done for you on the Course Handicaps tab).</t>
  </si>
  <si>
    <t xml:space="preserve">3) We're playing everyone off their own full Course Handicap against scratch (0) — no adjustment relative to the group. The Course Handicaps tab does this math and auto-fills each round's 'Crs Hcp' column.</t>
  </si>
  <si>
    <t xml:space="preserve">4) Net score on a hole = Gross strokes taken − handicap strokes received on that hole.</t>
  </si>
  <si>
    <t xml:space="preserve">This workbook calculates all of this automatically — Course Handicaps tab feeds each round's 'Crs Hcp' column, which combines with Par, Stroke Index and gross scores to produce points. Schedule: Mon = Eden, Tue = off (no golf), Wed = Old Course / Leven Links (split groups, same day), Thu = Crail, Fri = Craigtoun.</t>
  </si>
  <si>
    <t xml:space="preserve">Winning the trip</t>
  </si>
  <si>
    <t xml:space="preserve">Each round is scored separately, then total Stableford points across all 4 rounds are added up on the Leaderboard tab. Most total points after 4 rounds wins. Round-by-round results are also worth calling out for daily bragging rights / side bets.</t>
  </si>
  <si>
    <t xml:space="preserve">Quick reference</t>
  </si>
  <si>
    <t xml:space="preserve">• Play the ball as it lies — this is a fun, honor-system trip, not a Rules of Golf exam. Use common sense for lost balls / unplayable lies (e.g. count it a double bogey net for points purposes and move on).</t>
  </si>
  <si>
    <t xml:space="preserve">• If you can't finish a hole, or it's clearly going to score 0 points, pick up and move to the next tee — that's normal practice in Stableford and speeds up play.</t>
  </si>
  <si>
    <t xml:space="preserve">• Ties on the Leaderboard: countback on the last round played, then last 9 holes of that round.</t>
  </si>
  <si>
    <t xml:space="preserve">Sources</t>
  </si>
  <si>
    <t xml:space="preserve">Stableford scoring rules — Wikipedia (en.wikipedia.org/wiki/Stableford), MyGolfSpy (mygolfspy.com/news-opinion/stableford-scoring-system), and bunkered.co.uk. Individual net Stableford format — USGA Committee Procedures (usga.org).</t>
  </si>
  <si>
    <t xml:space="preserve">Players &amp; Handicaps</t>
  </si>
  <si>
    <t xml:space="preserve">#</t>
  </si>
  <si>
    <t xml:space="preserve">Player</t>
  </si>
  <si>
    <t xml:space="preserve">Handicap Index</t>
  </si>
  <si>
    <t xml:space="preserve">Tees</t>
  </si>
  <si>
    <t xml:space="preserve">Notes</t>
  </si>
  <si>
    <t xml:space="preserve">Paul</t>
  </si>
  <si>
    <t xml:space="preserve">Senior</t>
  </si>
  <si>
    <t xml:space="preserve">David</t>
  </si>
  <si>
    <t xml:space="preserve">Jonathan</t>
  </si>
  <si>
    <t xml:space="preserve">Standard Men's</t>
  </si>
  <si>
    <t xml:space="preserve">Patrick</t>
  </si>
  <si>
    <t xml:space="preserve">Andrew</t>
  </si>
  <si>
    <t xml:space="preserve">Peter</t>
  </si>
  <si>
    <t xml:space="preserve">Fraser</t>
  </si>
  <si>
    <t xml:space="preserve">Colin</t>
  </si>
  <si>
    <t xml:space="preserve">Yellow cells = editable. Update Handicap Index or Tees here if they change during the trip.</t>
  </si>
  <si>
    <t xml:space="preserve">Course Handicaps — calculated from GHIN Handicap Index (full Course Handicap, playing to scratch/0)</t>
  </si>
  <si>
    <t xml:space="preserve">Course Handicap = ROUND(Handicap Index × Slope/113 + (Course Rating − Par)). Everyone plays their own full Course Handicap against scratch (0) — no adjustment relative to the group. These columns (F–I, N) are linked automatically into each round's 'Crs Hcp' column.</t>
  </si>
  <si>
    <t xml:space="preserve">Hcp Index</t>
  </si>
  <si>
    <t xml:space="preserve">Tee</t>
  </si>
  <si>
    <t xml:space="preserve">Category</t>
  </si>
  <si>
    <t xml:space="preserve">Old Course
Course Hcp</t>
  </si>
  <si>
    <t xml:space="preserve">Eden
Course Hcp</t>
  </si>
  <si>
    <t xml:space="preserve">Craigtoun
Course Hcp</t>
  </si>
  <si>
    <t xml:space="preserve">Crail
Course Hcp</t>
  </si>
  <si>
    <t xml:space="preserve">Old Course
Playing Hcp</t>
  </si>
  <si>
    <t xml:space="preserve">Eden
Playing Hcp</t>
  </si>
  <si>
    <t xml:space="preserve">Craigtoun
Playing Hcp</t>
  </si>
  <si>
    <t xml:space="preserve">Crail
Playing Hcp</t>
  </si>
  <si>
    <t xml:space="preserve">Leven Links
Course Hcp</t>
  </si>
  <si>
    <t xml:space="preserve">Slope/Rating source: club-provided course cards (see chat). Leven Links not included — no slope/rating supplied; enter its Course Handicap manually on that tab.</t>
  </si>
  <si>
    <t xml:space="preserve">Round 1 — The Eden Course, St Andrews Links  (Monday)</t>
  </si>
  <si>
    <t xml:space="preserve">Hole</t>
  </si>
  <si>
    <t xml:space="preserve">Crs Hcp</t>
  </si>
  <si>
    <t xml:space="preserve">OUT</t>
  </si>
  <si>
    <t xml:space="preserve">IN</t>
  </si>
  <si>
    <t xml:space="preserve">TOTAL</t>
  </si>
  <si>
    <t xml:space="preserve">Par</t>
  </si>
  <si>
    <t xml:space="preserve">Stroke Index</t>
  </si>
  <si>
    <t xml:space="preserve">Paul — Gross</t>
  </si>
  <si>
    <t xml:space="preserve">Paul — Strokes received</t>
  </si>
  <si>
    <t xml:space="preserve">Paul — Pts</t>
  </si>
  <si>
    <t xml:space="preserve">David — Gross</t>
  </si>
  <si>
    <t xml:space="preserve">David — Strokes received</t>
  </si>
  <si>
    <t xml:space="preserve">David — Pts</t>
  </si>
  <si>
    <t xml:space="preserve">Jonathan — Gross</t>
  </si>
  <si>
    <t xml:space="preserve">Jonathan — Strokes received</t>
  </si>
  <si>
    <t xml:space="preserve">Jonathan — Pts</t>
  </si>
  <si>
    <t xml:space="preserve">Patrick — Gross</t>
  </si>
  <si>
    <t xml:space="preserve">Patrick — Strokes received</t>
  </si>
  <si>
    <t xml:space="preserve">Patrick — Pts</t>
  </si>
  <si>
    <t xml:space="preserve">Andrew — Gross</t>
  </si>
  <si>
    <t xml:space="preserve">Andrew — Strokes received</t>
  </si>
  <si>
    <t xml:space="preserve">Andrew — Pts</t>
  </si>
  <si>
    <t xml:space="preserve">Peter — Gross</t>
  </si>
  <si>
    <t xml:space="preserve">Peter — Strokes received</t>
  </si>
  <si>
    <t xml:space="preserve">Peter — Pts</t>
  </si>
  <si>
    <t xml:space="preserve">Fraser — Gross</t>
  </si>
  <si>
    <t xml:space="preserve">Fraser — Strokes received</t>
  </si>
  <si>
    <t xml:space="preserve">Fraser — Pts</t>
  </si>
  <si>
    <t xml:space="preserve">Colin — Gross</t>
  </si>
  <si>
    <t xml:space="preserve">Colin — Strokes received</t>
  </si>
  <si>
    <t xml:space="preserve">Colin — Pts</t>
  </si>
  <si>
    <t xml:space="preserve">Yellow = fill in: Par &amp; Stroke Index from the course scorecard, Gross = strokes per hole. Crs Hcp (green) is auto-linked from the Course Handicaps tab — update handicaps there, not here. "Strokes received" and "Pts" rows calculate automatically.</t>
  </si>
  <si>
    <t xml:space="preserve">Round 2 — The Old Course, St Andrews Links (Andrew, Paul, Jonathan, Colin)  (Wednesday)</t>
  </si>
  <si>
    <t xml:space="preserve">Round 2 — Leven Links (Patrick, David, Peter, Fraser)  (Wednesday)</t>
  </si>
  <si>
    <t xml:space="preserve">Round 3 — Crail Golfing Society — Balcomie Links  (Thursday)</t>
  </si>
  <si>
    <t xml:space="preserve">Round 4 — The Craigtoun Course, St Andrews Links  (Friday)</t>
  </si>
  <si>
    <t xml:space="preserve">Leaderboard — Total Stableford Points</t>
  </si>
  <si>
    <t xml:space="preserve">Rd1 Eden</t>
  </si>
  <si>
    <t xml:space="preserve">Rd2 Old Course / Leven</t>
  </si>
  <si>
    <t xml:space="preserve">Rd3 Crail</t>
  </si>
  <si>
    <t xml:space="preserve">Rd4 Craigtoun</t>
  </si>
  <si>
    <t xml:space="preserve">Total (Final Score of the Week)</t>
  </si>
  <si>
    <t xml:space="preserve">Rank</t>
  </si>
  <si>
    <t xml:space="preserve">Rd2 column auto-picks whichever of Old Course / Leven Links has points entered — only fill in scores for the course your group actually played.</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</si>
</sst>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8"/>
      <color rgb="FF1F3864"/>
      <name val="Arial"/>
      <family val="2"/>
      <charset val="1"/>
    </font>
    <font>
      <b val="true"/>
      <sz val="12"/>
      <color rgb="FF1F3864"/>
      <name val="Arial"/>
      <family val="2"/>
      <charset val="1"/>
    </font>
    <font>
      <sz val="11"/>
      <name val="Arial"/>
      <family val="2"/>
      <charset val="1"/>
    </font>
    <font>
      <b val="true"/>
      <sz val="11"/>
      <name val="Arial"/>
      <family val="2"/>
      <charset val="1"/>
    </font>
    <font>
      <b val="true"/>
      <sz val="16"/>
      <color rgb="FFFFFFFF"/>
      <name val="Arial"/>
      <family val="2"/>
      <charset val="1"/>
    </font>
    <font>
      <b val="true"/>
      <sz val="11"/>
      <color rgb="FFFFFFFF"/>
      <name val="Arial"/>
      <family val="2"/>
      <charset val="1"/>
    </font>
    <font>
      <i val="true"/>
      <sz val="10"/>
      <color rgb="FF666666"/>
      <name val="Arial"/>
      <family val="2"/>
      <charset val="1"/>
    </font>
    <font>
      <b val="true"/>
      <sz val="13"/>
      <color rgb="FFFFFFFF"/>
      <name val="Arial"/>
      <family val="2"/>
      <charset val="1"/>
    </font>
    <font>
      <i val="true"/>
      <sz val="9"/>
      <color rgb="FF666666"/>
      <name val="Arial"/>
      <family val="2"/>
      <charset val="1"/>
    </font>
    <font>
      <b val="true"/>
      <sz val="14"/>
      <color rgb="FFFFFFFF"/>
      <name val="Arial"/>
      <family val="2"/>
      <charset val="1"/>
    </font>
  </fonts>
  <fills count="7">
    <fill>
      <patternFill patternType="none"/>
    </fill>
    <fill>
      <patternFill patternType="gray125"/>
    </fill>
    <fill>
      <patternFill patternType="solid">
        <fgColor rgb="FFD9E2F3"/>
        <bgColor rgb="FFD6E4D0"/>
      </patternFill>
    </fill>
    <fill>
      <patternFill patternType="solid">
        <fgColor rgb="FF1F3864"/>
        <bgColor rgb="FF333399"/>
      </patternFill>
    </fill>
    <fill>
      <patternFill patternType="solid">
        <fgColor rgb="FF375623"/>
        <bgColor rgb="FF333300"/>
      </patternFill>
    </fill>
    <fill>
      <patternFill patternType="solid">
        <fgColor rgb="FFFFF2CC"/>
        <bgColor rgb="FFFFFFFF"/>
      </patternFill>
    </fill>
    <fill>
      <patternFill patternType="solid">
        <fgColor rgb="FFD6E4D0"/>
        <bgColor rgb="FFD9E2F3"/>
      </patternFill>
    </fill>
  </fills>
  <borders count="3">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left" vertical="bottom" textRotation="0" wrapText="false" indent="0" shrinkToFit="false"/>
      <protection locked="true" hidden="false"/>
    </xf>
    <xf numFmtId="164" fontId="6" fillId="5" borderId="2" xfId="0" applyFont="true" applyBorder="tru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center"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4" fontId="6" fillId="6" borderId="2"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D6E4D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false" showRowColHeaders="true" showZeros="true" rightToLeft="false" tabSelected="false" showOutlineSymbols="true" defaultGridColor="true" view="normal" topLeftCell="A5" colorId="64" zoomScale="100" zoomScaleNormal="100" zoomScalePageLayoutView="100" workbookViewId="0">
      <selection pane="topLeft" activeCell="E1" activeCellId="0" sqref="E1"/>
    </sheetView>
  </sheetViews>
  <sheetFormatPr defaultColWidth="8.66796875" defaultRowHeight="15" customHeight="false" zeroHeight="false" outlineLevelRow="0" outlineLevelCol="0"/>
  <cols>
    <col collapsed="false" customWidth="true" hidden="false" outlineLevel="0" max="1" min="1" style="0" width="3"/>
    <col collapsed="false" customWidth="true" hidden="false" outlineLevel="0" max="2" min="2" style="0" width="95"/>
  </cols>
  <sheetData>
    <row r="1" customFormat="false" ht="30" hidden="false" customHeight="true" outlineLevel="0" collapsed="false">
      <c r="A1" s="1" t="s">
        <v>0</v>
      </c>
      <c r="B1" s="1"/>
      <c r="C1" s="1"/>
    </row>
    <row r="3" customFormat="false" ht="15" hidden="false" customHeight="true" outlineLevel="0" collapsed="false">
      <c r="B3" s="2" t="s">
        <v>1</v>
      </c>
    </row>
    <row r="4" customFormat="false" ht="30" hidden="false" customHeight="true" outlineLevel="0" collapsed="false">
      <c r="B4" s="3" t="s">
        <v>2</v>
      </c>
    </row>
    <row r="6" customFormat="false" ht="15" hidden="false" customHeight="true" outlineLevel="0" collapsed="false">
      <c r="B6" s="2" t="s">
        <v>3</v>
      </c>
    </row>
    <row r="7" customFormat="false" ht="30" hidden="false" customHeight="true" outlineLevel="0" collapsed="false">
      <c r="B7" s="3" t="s">
        <v>4</v>
      </c>
    </row>
    <row r="9" customFormat="false" ht="15" hidden="false" customHeight="true" outlineLevel="0" collapsed="false">
      <c r="B9" s="2" t="s">
        <v>5</v>
      </c>
    </row>
    <row r="11" customFormat="false" ht="15" hidden="false" customHeight="true" outlineLevel="0" collapsed="false">
      <c r="B11" s="4" t="s">
        <v>6</v>
      </c>
      <c r="C11" s="4" t="s">
        <v>7</v>
      </c>
    </row>
    <row r="12" customFormat="false" ht="15" hidden="false" customHeight="true" outlineLevel="0" collapsed="false">
      <c r="B12" s="5" t="s">
        <v>8</v>
      </c>
      <c r="C12" s="6" t="s">
        <v>9</v>
      </c>
    </row>
    <row r="13" customFormat="false" ht="15" hidden="false" customHeight="true" outlineLevel="0" collapsed="false">
      <c r="B13" s="5" t="s">
        <v>10</v>
      </c>
      <c r="C13" s="6" t="s">
        <v>11</v>
      </c>
    </row>
    <row r="14" customFormat="false" ht="15" hidden="false" customHeight="true" outlineLevel="0" collapsed="false">
      <c r="B14" s="5" t="s">
        <v>12</v>
      </c>
      <c r="C14" s="6" t="s">
        <v>13</v>
      </c>
    </row>
    <row r="15" customFormat="false" ht="15" hidden="false" customHeight="true" outlineLevel="0" collapsed="false">
      <c r="B15" s="5" t="s">
        <v>14</v>
      </c>
      <c r="C15" s="6" t="s">
        <v>15</v>
      </c>
    </row>
    <row r="16" customFormat="false" ht="15" hidden="false" customHeight="true" outlineLevel="0" collapsed="false">
      <c r="B16" s="5" t="s">
        <v>16</v>
      </c>
      <c r="C16" s="6" t="s">
        <v>17</v>
      </c>
    </row>
    <row r="17" customFormat="false" ht="15" hidden="false" customHeight="true" outlineLevel="0" collapsed="false">
      <c r="B17" s="5" t="s">
        <v>18</v>
      </c>
      <c r="C17" s="6" t="s">
        <v>19</v>
      </c>
    </row>
    <row r="19" customFormat="false" ht="15" hidden="false" customHeight="true" outlineLevel="0" collapsed="false">
      <c r="B19" s="2" t="s">
        <v>20</v>
      </c>
    </row>
    <row r="20" customFormat="false" ht="30" hidden="false" customHeight="true" outlineLevel="0" collapsed="false">
      <c r="B20" s="3" t="s">
        <v>21</v>
      </c>
    </row>
    <row r="21" customFormat="false" ht="30" hidden="false" customHeight="true" outlineLevel="0" collapsed="false">
      <c r="B21" s="3" t="s">
        <v>22</v>
      </c>
    </row>
    <row r="22" customFormat="false" ht="30" hidden="false" customHeight="true" outlineLevel="0" collapsed="false">
      <c r="B22" s="3" t="s">
        <v>23</v>
      </c>
    </row>
    <row r="23" customFormat="false" ht="30" hidden="false" customHeight="true" outlineLevel="0" collapsed="false">
      <c r="B23" s="3" t="s">
        <v>24</v>
      </c>
    </row>
    <row r="24" customFormat="false" ht="30" hidden="false" customHeight="true" outlineLevel="0" collapsed="false">
      <c r="B24" s="3" t="s">
        <v>25</v>
      </c>
    </row>
    <row r="26" customFormat="false" ht="15" hidden="false" customHeight="true" outlineLevel="0" collapsed="false">
      <c r="B26" s="2" t="s">
        <v>26</v>
      </c>
    </row>
    <row r="27" customFormat="false" ht="30" hidden="false" customHeight="true" outlineLevel="0" collapsed="false">
      <c r="B27" s="3" t="s">
        <v>27</v>
      </c>
    </row>
    <row r="29" customFormat="false" ht="15" hidden="false" customHeight="true" outlineLevel="0" collapsed="false">
      <c r="B29" s="2" t="s">
        <v>28</v>
      </c>
    </row>
    <row r="30" customFormat="false" ht="30" hidden="false" customHeight="true" outlineLevel="0" collapsed="false">
      <c r="B30" s="3" t="s">
        <v>29</v>
      </c>
    </row>
    <row r="31" customFormat="false" ht="30" hidden="false" customHeight="true" outlineLevel="0" collapsed="false">
      <c r="B31" s="3" t="s">
        <v>30</v>
      </c>
    </row>
    <row r="32" customFormat="false" ht="30" hidden="false" customHeight="true" outlineLevel="0" collapsed="false">
      <c r="B32" s="3" t="s">
        <v>31</v>
      </c>
    </row>
    <row r="34" customFormat="false" ht="15" hidden="false" customHeight="true" outlineLevel="0" collapsed="false">
      <c r="B34" s="2" t="s">
        <v>32</v>
      </c>
    </row>
    <row r="35" customFormat="false" ht="30" hidden="false" customHeight="true" outlineLevel="0" collapsed="false">
      <c r="B35" s="3" t="s">
        <v>33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4"/>
    <col collapsed="false" customWidth="true" hidden="false" outlineLevel="0" max="2" min="2" style="0" width="20"/>
    <col collapsed="false" customWidth="true" hidden="false" outlineLevel="0" max="4" min="3" style="0" width="16"/>
    <col collapsed="false" customWidth="true" hidden="false" outlineLevel="0" max="5" min="5" style="0" width="45"/>
  </cols>
  <sheetData>
    <row r="1" customFormat="false" ht="25.5" hidden="false" customHeight="true" outlineLevel="0" collapsed="false">
      <c r="A1" s="7" t="s">
        <v>34</v>
      </c>
      <c r="B1" s="7"/>
      <c r="C1" s="7"/>
      <c r="D1" s="7"/>
      <c r="E1" s="7"/>
    </row>
    <row r="3" customFormat="false" ht="15" hidden="false" customHeight="true" outlineLevel="0" collapsed="false">
      <c r="A3" s="8" t="s">
        <v>35</v>
      </c>
      <c r="B3" s="8" t="s">
        <v>36</v>
      </c>
      <c r="C3" s="8" t="s">
        <v>37</v>
      </c>
      <c r="D3" s="8" t="s">
        <v>38</v>
      </c>
      <c r="E3" s="8" t="s">
        <v>39</v>
      </c>
    </row>
    <row r="4" customFormat="false" ht="15" hidden="false" customHeight="true" outlineLevel="0" collapsed="false">
      <c r="A4" s="9" t="n">
        <v>1</v>
      </c>
      <c r="B4" s="10" t="s">
        <v>40</v>
      </c>
      <c r="C4" s="11" t="n">
        <v>18.7</v>
      </c>
      <c r="D4" s="12" t="s">
        <v>41</v>
      </c>
      <c r="E4" s="10"/>
    </row>
    <row r="5" customFormat="false" ht="15" hidden="false" customHeight="true" outlineLevel="0" collapsed="false">
      <c r="A5" s="9" t="n">
        <v>2</v>
      </c>
      <c r="B5" s="10" t="s">
        <v>42</v>
      </c>
      <c r="C5" s="11" t="n">
        <v>18.5</v>
      </c>
      <c r="D5" s="12" t="s">
        <v>41</v>
      </c>
      <c r="E5" s="10"/>
    </row>
    <row r="6" customFormat="false" ht="15" hidden="false" customHeight="true" outlineLevel="0" collapsed="false">
      <c r="A6" s="9" t="n">
        <v>3</v>
      </c>
      <c r="B6" s="10" t="s">
        <v>43</v>
      </c>
      <c r="C6" s="11" t="n">
        <v>12</v>
      </c>
      <c r="D6" s="12" t="s">
        <v>44</v>
      </c>
      <c r="E6" s="10"/>
    </row>
    <row r="7" customFormat="false" ht="15" hidden="false" customHeight="true" outlineLevel="0" collapsed="false">
      <c r="A7" s="9" t="n">
        <v>4</v>
      </c>
      <c r="B7" s="10" t="s">
        <v>45</v>
      </c>
      <c r="C7" s="11" t="n">
        <v>22.5</v>
      </c>
      <c r="D7" s="12" t="s">
        <v>44</v>
      </c>
      <c r="E7" s="10"/>
    </row>
    <row r="8" customFormat="false" ht="15" hidden="false" customHeight="true" outlineLevel="0" collapsed="false">
      <c r="A8" s="9" t="n">
        <v>5</v>
      </c>
      <c r="B8" s="10" t="s">
        <v>46</v>
      </c>
      <c r="C8" s="11" t="n">
        <v>25.6</v>
      </c>
      <c r="D8" s="12" t="s">
        <v>44</v>
      </c>
      <c r="E8" s="10"/>
    </row>
    <row r="9" customFormat="false" ht="15" hidden="false" customHeight="true" outlineLevel="0" collapsed="false">
      <c r="A9" s="9" t="n">
        <v>6</v>
      </c>
      <c r="B9" s="10" t="s">
        <v>47</v>
      </c>
      <c r="C9" s="11" t="n">
        <v>18</v>
      </c>
      <c r="D9" s="12" t="s">
        <v>44</v>
      </c>
      <c r="E9" s="10"/>
    </row>
    <row r="10" customFormat="false" ht="15" hidden="false" customHeight="true" outlineLevel="0" collapsed="false">
      <c r="A10" s="9" t="n">
        <v>7</v>
      </c>
      <c r="B10" s="10" t="s">
        <v>48</v>
      </c>
      <c r="C10" s="11" t="n">
        <v>14.9</v>
      </c>
      <c r="D10" s="12" t="s">
        <v>44</v>
      </c>
      <c r="E10" s="10"/>
    </row>
    <row r="11" customFormat="false" ht="15" hidden="false" customHeight="true" outlineLevel="0" collapsed="false">
      <c r="A11" s="9" t="n">
        <v>8</v>
      </c>
      <c r="B11" s="10" t="s">
        <v>49</v>
      </c>
      <c r="C11" s="11" t="n">
        <v>25.1</v>
      </c>
      <c r="D11" s="12" t="s">
        <v>44</v>
      </c>
      <c r="E11" s="10"/>
    </row>
    <row r="13" customFormat="false" ht="15" hidden="false" customHeight="true" outlineLevel="0" collapsed="false">
      <c r="B13" s="13" t="s">
        <v>50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23" activeCellId="0" sqref="I23"/>
    </sheetView>
  </sheetViews>
  <sheetFormatPr defaultColWidth="8.66796875" defaultRowHeight="15" customHeight="false"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5" min="5" style="0" width="11"/>
    <col collapsed="false" customWidth="true" hidden="false" outlineLevel="0" max="6" min="6" style="0" width="13"/>
    <col collapsed="false" customWidth="true" hidden="false" outlineLevel="0" max="7" min="7" style="0" width="12"/>
    <col collapsed="false" customWidth="true" hidden="false" outlineLevel="0" max="8" min="8" style="0" width="15"/>
    <col collapsed="false" customWidth="true" hidden="false" outlineLevel="0" max="9" min="9" style="0" width="12"/>
    <col collapsed="false" customWidth="true" hidden="false" outlineLevel="0" max="10" min="10" style="0" width="13"/>
    <col collapsed="false" customWidth="true" hidden="false" outlineLevel="0" max="11" min="11" style="0" width="12"/>
    <col collapsed="false" customWidth="true" hidden="false" outlineLevel="0" max="12" min="12" style="0" width="16"/>
    <col collapsed="false" customWidth="true" hidden="false" outlineLevel="0" max="14" min="13" style="0" width="12"/>
  </cols>
  <sheetData>
    <row r="1" customFormat="false" ht="21.75" hidden="false" customHeight="true" outlineLevel="0" collapsed="false">
      <c r="A1" s="14" t="s">
        <v>51</v>
      </c>
      <c r="B1" s="14"/>
      <c r="C1" s="14"/>
      <c r="D1" s="14"/>
      <c r="E1" s="14"/>
      <c r="F1" s="14"/>
      <c r="G1" s="14"/>
      <c r="H1" s="14"/>
      <c r="I1" s="14"/>
    </row>
    <row r="2" customFormat="false" ht="39.75" hidden="false" customHeight="true" outlineLevel="0" collapsed="false">
      <c r="A2" s="15" t="s">
        <v>52</v>
      </c>
      <c r="B2" s="15"/>
      <c r="C2" s="15"/>
      <c r="D2" s="15"/>
      <c r="E2" s="15"/>
      <c r="F2" s="15"/>
      <c r="G2" s="15"/>
      <c r="H2" s="15"/>
      <c r="I2" s="15"/>
    </row>
    <row r="3" customFormat="false" ht="30" hidden="false" customHeight="true" outlineLevel="0" collapsed="false">
      <c r="A3" s="16" t="s">
        <v>35</v>
      </c>
      <c r="B3" s="16" t="s">
        <v>36</v>
      </c>
      <c r="C3" s="16" t="s">
        <v>53</v>
      </c>
      <c r="D3" s="16" t="s">
        <v>54</v>
      </c>
      <c r="E3" s="16" t="s">
        <v>55</v>
      </c>
      <c r="F3" s="16" t="s">
        <v>56</v>
      </c>
      <c r="G3" s="16" t="s">
        <v>57</v>
      </c>
      <c r="H3" s="16" t="s">
        <v>58</v>
      </c>
      <c r="I3" s="16" t="s">
        <v>59</v>
      </c>
      <c r="J3" s="16" t="s">
        <v>60</v>
      </c>
      <c r="K3" s="16" t="s">
        <v>61</v>
      </c>
      <c r="L3" s="16" t="s">
        <v>62</v>
      </c>
      <c r="M3" s="16" t="s">
        <v>63</v>
      </c>
      <c r="N3" s="16" t="s">
        <v>64</v>
      </c>
    </row>
    <row r="4" customFormat="false" ht="15" hidden="false" customHeight="true" outlineLevel="0" collapsed="false">
      <c r="A4" s="9" t="n">
        <v>1</v>
      </c>
      <c r="B4" s="12" t="str">
        <f aca="false">Players!B4</f>
        <v>Paul</v>
      </c>
      <c r="C4" s="9" t="n">
        <f aca="false">Players!C4</f>
        <v>18.7</v>
      </c>
      <c r="D4" s="9" t="str">
        <f aca="false">Players!D4</f>
        <v>Senior</v>
      </c>
      <c r="E4" s="9" t="str">
        <f aca="false">IF(D4="Senior","Senior","Standard")</f>
        <v>Senior</v>
      </c>
      <c r="F4" s="9" t="n">
        <f aca="false">ROUND(C4*IF($E4="Senior",125,129)/113+IF($E4="Senior",69.9,71.4)-72,0)</f>
        <v>19</v>
      </c>
      <c r="G4" s="9" t="n">
        <f aca="false">ROUND(C4*IF($E4="Senior",117,121)/113+IF($E4="Senior",67,68.9)-70,0)</f>
        <v>16</v>
      </c>
      <c r="H4" s="9" t="n">
        <f aca="false">ROUND(C4*IF($E4="Senior",133,134)/113+IF($E4="Senior",70.6,72.7)-71,0)</f>
        <v>22</v>
      </c>
      <c r="I4" s="9" t="n">
        <f aca="false">ROUND(C4*IF($E4="Senior",118,122)/113+IF($E4="Senior",67.6,69.7)-69,0)</f>
        <v>18</v>
      </c>
      <c r="J4" s="17" t="n">
        <f aca="false">F4-MIN($F$4:$F$11)</f>
        <v>6</v>
      </c>
      <c r="K4" s="17" t="n">
        <f aca="false">G4-MIN($G$4:$G$11)</f>
        <v>4</v>
      </c>
      <c r="L4" s="17" t="n">
        <f aca="false">H4-MIN($H$4:$H$11)</f>
        <v>6</v>
      </c>
      <c r="M4" s="17" t="n">
        <f aca="false">I4-MIN($I$4:$I$11)</f>
        <v>4</v>
      </c>
      <c r="N4" s="9" t="n">
        <f aca="false">ROUND(C4*129/113+(70-71),0)</f>
        <v>20</v>
      </c>
    </row>
    <row r="5" customFormat="false" ht="15" hidden="false" customHeight="true" outlineLevel="0" collapsed="false">
      <c r="A5" s="9" t="n">
        <v>2</v>
      </c>
      <c r="B5" s="12" t="str">
        <f aca="false">Players!B5</f>
        <v>David</v>
      </c>
      <c r="C5" s="9" t="n">
        <f aca="false">Players!C5</f>
        <v>18.5</v>
      </c>
      <c r="D5" s="9" t="str">
        <f aca="false">Players!D5</f>
        <v>Senior</v>
      </c>
      <c r="E5" s="9" t="str">
        <f aca="false">IF(D5="Senior","Senior","Standard")</f>
        <v>Senior</v>
      </c>
      <c r="F5" s="9" t="n">
        <f aca="false">ROUND(C5*IF($E5="Senior",125,129)/113+IF($E5="Senior",69.9,71.4)-72,0)</f>
        <v>18</v>
      </c>
      <c r="G5" s="9" t="n">
        <f aca="false">ROUND(C5*IF($E5="Senior",117,121)/113+IF($E5="Senior",67,68.9)-70,0)</f>
        <v>16</v>
      </c>
      <c r="H5" s="9" t="n">
        <f aca="false">ROUND(C5*IF($E5="Senior",133,134)/113+IF($E5="Senior",70.6,72.7)-71,0)</f>
        <v>21</v>
      </c>
      <c r="I5" s="9" t="n">
        <f aca="false">ROUND(C5*IF($E5="Senior",118,122)/113+IF($E5="Senior",67.6,69.7)-69,0)</f>
        <v>18</v>
      </c>
      <c r="J5" s="17" t="n">
        <f aca="false">F5-MIN($F$4:$F$11)</f>
        <v>5</v>
      </c>
      <c r="K5" s="17" t="n">
        <f aca="false">G5-MIN($G$4:$G$11)</f>
        <v>4</v>
      </c>
      <c r="L5" s="17" t="n">
        <f aca="false">H5-MIN($H$4:$H$11)</f>
        <v>5</v>
      </c>
      <c r="M5" s="17" t="n">
        <f aca="false">I5-MIN($I$4:$I$11)</f>
        <v>4</v>
      </c>
      <c r="N5" s="9" t="n">
        <f aca="false">ROUND(C5*129/113+(70-71),0)</f>
        <v>20</v>
      </c>
    </row>
    <row r="6" customFormat="false" ht="15" hidden="false" customHeight="true" outlineLevel="0" collapsed="false">
      <c r="A6" s="9" t="n">
        <v>3</v>
      </c>
      <c r="B6" s="12" t="str">
        <f aca="false">Players!B6</f>
        <v>Jonathan</v>
      </c>
      <c r="C6" s="9" t="n">
        <f aca="false">Players!C6</f>
        <v>12</v>
      </c>
      <c r="D6" s="9" t="str">
        <f aca="false">Players!D6</f>
        <v>Standard Men's</v>
      </c>
      <c r="E6" s="9" t="str">
        <f aca="false">IF(D6="Senior","Senior","Standard")</f>
        <v>Standard</v>
      </c>
      <c r="F6" s="9" t="n">
        <f aca="false">ROUND(C6*IF($E6="Senior",125,129)/113+IF($E6="Senior",69.9,71.4)-72,0)</f>
        <v>13</v>
      </c>
      <c r="G6" s="9" t="n">
        <f aca="false">ROUND(C6*IF($E6="Senior",117,121)/113+IF($E6="Senior",67,68.9)-70,0)</f>
        <v>12</v>
      </c>
      <c r="H6" s="9" t="n">
        <f aca="false">ROUND(C6*IF($E6="Senior",133,134)/113+IF($E6="Senior",70.6,72.7)-71,0)</f>
        <v>16</v>
      </c>
      <c r="I6" s="9" t="n">
        <f aca="false">ROUND(C6*IF($E6="Senior",118,122)/113+IF($E6="Senior",67.6,69.7)-69,0)</f>
        <v>14</v>
      </c>
      <c r="J6" s="17" t="n">
        <f aca="false">F6-MIN($F$4:$F$11)</f>
        <v>0</v>
      </c>
      <c r="K6" s="17" t="n">
        <f aca="false">G6-MIN($G$4:$G$11)</f>
        <v>0</v>
      </c>
      <c r="L6" s="17" t="n">
        <f aca="false">H6-MIN($H$4:$H$11)</f>
        <v>0</v>
      </c>
      <c r="M6" s="17" t="n">
        <f aca="false">I6-MIN($I$4:$I$11)</f>
        <v>0</v>
      </c>
      <c r="N6" s="9" t="n">
        <f aca="false">ROUND(C6*129/113+(70-71),0)</f>
        <v>13</v>
      </c>
    </row>
    <row r="7" customFormat="false" ht="15" hidden="false" customHeight="true" outlineLevel="0" collapsed="false">
      <c r="A7" s="9" t="n">
        <v>4</v>
      </c>
      <c r="B7" s="12" t="str">
        <f aca="false">Players!B7</f>
        <v>Patrick</v>
      </c>
      <c r="C7" s="9" t="n">
        <f aca="false">Players!C7</f>
        <v>22.5</v>
      </c>
      <c r="D7" s="9" t="str">
        <f aca="false">Players!D7</f>
        <v>Standard Men's</v>
      </c>
      <c r="E7" s="9" t="str">
        <f aca="false">IF(D7="Senior","Senior","Standard")</f>
        <v>Standard</v>
      </c>
      <c r="F7" s="9" t="n">
        <f aca="false">ROUND(C7*IF($E7="Senior",125,129)/113+IF($E7="Senior",69.9,71.4)-72,0)</f>
        <v>25</v>
      </c>
      <c r="G7" s="9" t="n">
        <f aca="false">ROUND(C7*IF($E7="Senior",117,121)/113+IF($E7="Senior",67,68.9)-70,0)</f>
        <v>23</v>
      </c>
      <c r="H7" s="9" t="n">
        <f aca="false">ROUND(C7*IF($E7="Senior",133,134)/113+IF($E7="Senior",70.6,72.7)-71,0)</f>
        <v>28</v>
      </c>
      <c r="I7" s="9" t="n">
        <f aca="false">ROUND(C7*IF($E7="Senior",118,122)/113+IF($E7="Senior",67.6,69.7)-69,0)</f>
        <v>25</v>
      </c>
      <c r="J7" s="17" t="n">
        <f aca="false">F7-MIN($F$4:$F$11)</f>
        <v>12</v>
      </c>
      <c r="K7" s="17" t="n">
        <f aca="false">G7-MIN($G$4:$G$11)</f>
        <v>11</v>
      </c>
      <c r="L7" s="17" t="n">
        <f aca="false">H7-MIN($H$4:$H$11)</f>
        <v>12</v>
      </c>
      <c r="M7" s="17" t="n">
        <f aca="false">I7-MIN($I$4:$I$11)</f>
        <v>11</v>
      </c>
      <c r="N7" s="9" t="n">
        <f aca="false">ROUND(C7*129/113+(70-71),0)</f>
        <v>25</v>
      </c>
    </row>
    <row r="8" customFormat="false" ht="15" hidden="false" customHeight="true" outlineLevel="0" collapsed="false">
      <c r="A8" s="9" t="n">
        <v>5</v>
      </c>
      <c r="B8" s="12" t="str">
        <f aca="false">Players!B8</f>
        <v>Andrew</v>
      </c>
      <c r="C8" s="9" t="n">
        <f aca="false">Players!C8</f>
        <v>25.6</v>
      </c>
      <c r="D8" s="9" t="str">
        <f aca="false">Players!D8</f>
        <v>Standard Men's</v>
      </c>
      <c r="E8" s="9" t="str">
        <f aca="false">IF(D8="Senior","Senior","Standard")</f>
        <v>Standard</v>
      </c>
      <c r="F8" s="9" t="n">
        <f aca="false">ROUND(C8*IF($E8="Senior",125,129)/113+IF($E8="Senior",69.9,71.4)-72,0)</f>
        <v>29</v>
      </c>
      <c r="G8" s="9" t="n">
        <f aca="false">ROUND(C8*IF($E8="Senior",117,121)/113+IF($E8="Senior",67,68.9)-70,0)</f>
        <v>26</v>
      </c>
      <c r="H8" s="9" t="n">
        <f aca="false">ROUND(C8*IF($E8="Senior",133,134)/113+IF($E8="Senior",70.6,72.7)-71,0)</f>
        <v>32</v>
      </c>
      <c r="I8" s="9" t="n">
        <f aca="false">ROUND(C8*IF($E8="Senior",118,122)/113+IF($E8="Senior",67.6,69.7)-69,0)</f>
        <v>28</v>
      </c>
      <c r="J8" s="17" t="n">
        <f aca="false">F8-MIN($F$4:$F$11)</f>
        <v>16</v>
      </c>
      <c r="K8" s="17" t="n">
        <f aca="false">G8-MIN($G$4:$G$11)</f>
        <v>14</v>
      </c>
      <c r="L8" s="17" t="n">
        <f aca="false">H8-MIN($H$4:$H$11)</f>
        <v>16</v>
      </c>
      <c r="M8" s="17" t="n">
        <f aca="false">I8-MIN($I$4:$I$11)</f>
        <v>14</v>
      </c>
      <c r="N8" s="9" t="n">
        <f aca="false">ROUND(C8*129/113+(70-71),0)</f>
        <v>28</v>
      </c>
    </row>
    <row r="9" customFormat="false" ht="15" hidden="false" customHeight="true" outlineLevel="0" collapsed="false">
      <c r="A9" s="9" t="n">
        <v>6</v>
      </c>
      <c r="B9" s="12" t="str">
        <f aca="false">Players!B9</f>
        <v>Peter</v>
      </c>
      <c r="C9" s="9" t="n">
        <f aca="false">Players!C9</f>
        <v>18</v>
      </c>
      <c r="D9" s="9" t="str">
        <f aca="false">Players!D9</f>
        <v>Standard Men's</v>
      </c>
      <c r="E9" s="9" t="str">
        <f aca="false">IF(D9="Senior","Senior","Standard")</f>
        <v>Standard</v>
      </c>
      <c r="F9" s="9" t="n">
        <f aca="false">ROUND(C9*IF($E9="Senior",125,129)/113+IF($E9="Senior",69.9,71.4)-72,0)</f>
        <v>20</v>
      </c>
      <c r="G9" s="9" t="n">
        <f aca="false">ROUND(C9*IF($E9="Senior",117,121)/113+IF($E9="Senior",67,68.9)-70,0)</f>
        <v>18</v>
      </c>
      <c r="H9" s="9" t="n">
        <f aca="false">ROUND(C9*IF($E9="Senior",133,134)/113+IF($E9="Senior",70.6,72.7)-71,0)</f>
        <v>23</v>
      </c>
      <c r="I9" s="9" t="n">
        <f aca="false">ROUND(C9*IF($E9="Senior",118,122)/113+IF($E9="Senior",67.6,69.7)-69,0)</f>
        <v>20</v>
      </c>
      <c r="J9" s="17" t="n">
        <f aca="false">F9-MIN($F$4:$F$11)</f>
        <v>7</v>
      </c>
      <c r="K9" s="17" t="n">
        <f aca="false">G9-MIN($G$4:$G$11)</f>
        <v>6</v>
      </c>
      <c r="L9" s="17" t="n">
        <f aca="false">H9-MIN($H$4:$H$11)</f>
        <v>7</v>
      </c>
      <c r="M9" s="17" t="n">
        <f aca="false">I9-MIN($I$4:$I$11)</f>
        <v>6</v>
      </c>
      <c r="N9" s="9" t="n">
        <f aca="false">ROUND(C9*129/113+(70-71),0)</f>
        <v>20</v>
      </c>
    </row>
    <row r="10" customFormat="false" ht="15" hidden="false" customHeight="true" outlineLevel="0" collapsed="false">
      <c r="A10" s="9" t="n">
        <v>7</v>
      </c>
      <c r="B10" s="12" t="str">
        <f aca="false">Players!B10</f>
        <v>Fraser</v>
      </c>
      <c r="C10" s="9" t="n">
        <f aca="false">Players!C10</f>
        <v>14.9</v>
      </c>
      <c r="D10" s="9" t="str">
        <f aca="false">Players!D10</f>
        <v>Standard Men's</v>
      </c>
      <c r="E10" s="9" t="str">
        <f aca="false">IF(D10="Senior","Senior","Standard")</f>
        <v>Standard</v>
      </c>
      <c r="F10" s="9" t="n">
        <f aca="false">ROUND(C10*IF($E10="Senior",125,129)/113+IF($E10="Senior",69.9,71.4)-72,0)</f>
        <v>16</v>
      </c>
      <c r="G10" s="9" t="n">
        <f aca="false">ROUND(C10*IF($E10="Senior",117,121)/113+IF($E10="Senior",67,68.9)-70,0)</f>
        <v>15</v>
      </c>
      <c r="H10" s="9" t="n">
        <f aca="false">ROUND(C10*IF($E10="Senior",133,134)/113+IF($E10="Senior",70.6,72.7)-71,0)</f>
        <v>19</v>
      </c>
      <c r="I10" s="9" t="n">
        <f aca="false">ROUND(C10*IF($E10="Senior",118,122)/113+IF($E10="Senior",67.6,69.7)-69,0)</f>
        <v>17</v>
      </c>
      <c r="J10" s="17" t="n">
        <f aca="false">F10-MIN($F$4:$F$11)</f>
        <v>3</v>
      </c>
      <c r="K10" s="17" t="n">
        <f aca="false">G10-MIN($G$4:$G$11)</f>
        <v>3</v>
      </c>
      <c r="L10" s="17" t="n">
        <f aca="false">H10-MIN($H$4:$H$11)</f>
        <v>3</v>
      </c>
      <c r="M10" s="17" t="n">
        <f aca="false">I10-MIN($I$4:$I$11)</f>
        <v>3</v>
      </c>
      <c r="N10" s="9" t="n">
        <f aca="false">ROUND(C10*129/113+(70-71),0)</f>
        <v>16</v>
      </c>
    </row>
    <row r="11" customFormat="false" ht="15" hidden="false" customHeight="true" outlineLevel="0" collapsed="false">
      <c r="A11" s="9" t="n">
        <v>8</v>
      </c>
      <c r="B11" s="12" t="str">
        <f aca="false">Players!B11</f>
        <v>Colin</v>
      </c>
      <c r="C11" s="9" t="n">
        <f aca="false">Players!C11</f>
        <v>25.1</v>
      </c>
      <c r="D11" s="9" t="str">
        <f aca="false">Players!D11</f>
        <v>Standard Men's</v>
      </c>
      <c r="E11" s="9" t="str">
        <f aca="false">IF(D11="Senior","Senior","Standard")</f>
        <v>Standard</v>
      </c>
      <c r="F11" s="9" t="n">
        <f aca="false">ROUND(C11*IF($E11="Senior",125,129)/113+IF($E11="Senior",69.9,71.4)-72,0)</f>
        <v>28</v>
      </c>
      <c r="G11" s="9" t="n">
        <f aca="false">ROUND(C11*IF($E11="Senior",117,121)/113+IF($E11="Senior",67,68.9)-70,0)</f>
        <v>26</v>
      </c>
      <c r="H11" s="9" t="n">
        <f aca="false">ROUND(C11*IF($E11="Senior",133,134)/113+IF($E11="Senior",70.6,72.7)-71,0)</f>
        <v>31</v>
      </c>
      <c r="I11" s="9" t="n">
        <f aca="false">ROUND(C11*IF($E11="Senior",118,122)/113+IF($E11="Senior",67.6,69.7)-69,0)</f>
        <v>28</v>
      </c>
      <c r="J11" s="17" t="n">
        <f aca="false">F11-MIN($F$4:$F$11)</f>
        <v>15</v>
      </c>
      <c r="K11" s="17" t="n">
        <f aca="false">G11-MIN($G$4:$G$11)</f>
        <v>14</v>
      </c>
      <c r="L11" s="17" t="n">
        <f aca="false">H11-MIN($H$4:$H$11)</f>
        <v>15</v>
      </c>
      <c r="M11" s="17" t="n">
        <f aca="false">I11-MIN($I$4:$I$11)</f>
        <v>14</v>
      </c>
      <c r="N11" s="9" t="n">
        <f aca="false">ROUND(C11*129/113+(70-71),0)</f>
        <v>28</v>
      </c>
    </row>
    <row r="13" customFormat="false" ht="15" hidden="false" customHeight="true" outlineLevel="0" collapsed="false">
      <c r="B13" s="18" t="s">
        <v>65</v>
      </c>
      <c r="C13" s="18"/>
      <c r="D13" s="18"/>
      <c r="E13" s="18"/>
      <c r="F13" s="18"/>
      <c r="G13" s="18"/>
      <c r="H13" s="18"/>
      <c r="I13" s="18"/>
    </row>
  </sheetData>
  <mergeCells count="3">
    <mergeCell ref="A1:I1"/>
    <mergeCell ref="A2:I2"/>
    <mergeCell ref="B13:I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
  <sheetViews>
    <sheetView showFormulas="false" showGridLines="false" showRowColHeaders="true" showZeros="true" rightToLeft="false" tabSelected="true" showOutlineSymbols="true" defaultGridColor="true" view="normal" topLeftCell="A1" colorId="64" zoomScale="140" zoomScaleNormal="14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W8" activeCellId="0" sqref="W8"/>
    </sheetView>
  </sheetViews>
  <sheetFormatPr defaultColWidth="8.66796875" defaultRowHeight="15" customHeight="false" zeroHeight="false" outlineLevelRow="0" outlineLevelCol="0"/>
  <cols>
    <col collapsed="false" customWidth="true" hidden="false" outlineLevel="0" max="1" min="1" style="0" width="26.67"/>
    <col collapsed="false" customWidth="true" hidden="false" outlineLevel="0" max="2" min="2" style="0" width="9.33"/>
    <col collapsed="false" customWidth="true" hidden="false" outlineLevel="0" max="20" min="3" style="0" width="6.51"/>
    <col collapsed="false" customWidth="true" hidden="false" outlineLevel="0" max="21" min="21" style="0" width="7"/>
    <col collapsed="false" customWidth="true" hidden="false" outlineLevel="0" max="23" min="23" style="0" width="8"/>
  </cols>
  <sheetData>
    <row r="1" customFormat="false" ht="24" hidden="false" customHeight="true" outlineLevel="0" collapsed="false">
      <c r="A1" s="19" t="s">
        <v>66</v>
      </c>
      <c r="B1" s="19"/>
      <c r="C1" s="19"/>
      <c r="D1" s="19"/>
      <c r="E1" s="19"/>
      <c r="F1" s="19"/>
      <c r="G1" s="19"/>
      <c r="H1" s="19"/>
      <c r="I1" s="19"/>
      <c r="J1" s="19"/>
      <c r="K1" s="19"/>
      <c r="L1" s="19"/>
      <c r="M1" s="19"/>
      <c r="N1" s="19"/>
      <c r="O1" s="19"/>
      <c r="P1" s="19"/>
      <c r="Q1" s="19"/>
      <c r="R1" s="19"/>
      <c r="S1" s="19"/>
      <c r="T1" s="19"/>
      <c r="U1" s="19"/>
      <c r="V1" s="19"/>
      <c r="W1" s="19"/>
    </row>
    <row r="2" customFormat="false" ht="15" hidden="false" customHeight="true" outlineLevel="0" collapsed="false">
      <c r="A2" s="8" t="s">
        <v>67</v>
      </c>
      <c r="B2" s="8" t="s">
        <v>68</v>
      </c>
      <c r="C2" s="8" t="n">
        <v>1</v>
      </c>
      <c r="D2" s="8" t="n">
        <v>2</v>
      </c>
      <c r="E2" s="8" t="n">
        <v>3</v>
      </c>
      <c r="F2" s="8" t="n">
        <v>4</v>
      </c>
      <c r="G2" s="8" t="n">
        <v>5</v>
      </c>
      <c r="H2" s="8" t="n">
        <v>6</v>
      </c>
      <c r="I2" s="8" t="n">
        <v>7</v>
      </c>
      <c r="J2" s="8" t="n">
        <v>8</v>
      </c>
      <c r="K2" s="8" t="n">
        <v>9</v>
      </c>
      <c r="L2" s="8" t="s">
        <v>69</v>
      </c>
      <c r="M2" s="8" t="n">
        <v>10</v>
      </c>
      <c r="N2" s="8" t="n">
        <v>11</v>
      </c>
      <c r="O2" s="8" t="n">
        <v>12</v>
      </c>
      <c r="P2" s="8" t="n">
        <v>13</v>
      </c>
      <c r="Q2" s="8" t="n">
        <v>14</v>
      </c>
      <c r="R2" s="8" t="n">
        <v>15</v>
      </c>
      <c r="S2" s="8" t="n">
        <v>16</v>
      </c>
      <c r="T2" s="8" t="n">
        <v>17</v>
      </c>
      <c r="U2" s="8" t="n">
        <v>18</v>
      </c>
      <c r="V2" s="8" t="s">
        <v>70</v>
      </c>
      <c r="W2" s="8" t="s">
        <v>71</v>
      </c>
    </row>
    <row r="3" customFormat="false" ht="15" hidden="false" customHeight="true" outlineLevel="0" collapsed="false">
      <c r="A3" s="20" t="s">
        <v>72</v>
      </c>
      <c r="B3" s="5"/>
      <c r="C3" s="21" t="n">
        <v>4</v>
      </c>
      <c r="D3" s="21" t="n">
        <v>4</v>
      </c>
      <c r="E3" s="21" t="n">
        <v>4</v>
      </c>
      <c r="F3" s="21" t="n">
        <v>4</v>
      </c>
      <c r="G3" s="21" t="n">
        <v>3</v>
      </c>
      <c r="H3" s="21" t="n">
        <v>4</v>
      </c>
      <c r="I3" s="21" t="n">
        <v>4</v>
      </c>
      <c r="J3" s="21" t="n">
        <v>3</v>
      </c>
      <c r="K3" s="21" t="n">
        <v>5</v>
      </c>
      <c r="L3" s="22" t="n">
        <f aca="false">SUM(C3:K3)</f>
        <v>35</v>
      </c>
      <c r="M3" s="21" t="n">
        <v>3</v>
      </c>
      <c r="N3" s="21" t="n">
        <v>4</v>
      </c>
      <c r="O3" s="21" t="n">
        <v>4</v>
      </c>
      <c r="P3" s="21" t="n">
        <v>4</v>
      </c>
      <c r="Q3" s="21" t="n">
        <v>4</v>
      </c>
      <c r="R3" s="21" t="n">
        <v>3</v>
      </c>
      <c r="S3" s="21" t="n">
        <v>5</v>
      </c>
      <c r="T3" s="21" t="n">
        <v>4</v>
      </c>
      <c r="U3" s="21" t="n">
        <v>4</v>
      </c>
      <c r="V3" s="22" t="n">
        <f aca="false">SUM(M3:U3)</f>
        <v>35</v>
      </c>
      <c r="W3" s="22" t="n">
        <f aca="false">L3+V3</f>
        <v>70</v>
      </c>
    </row>
    <row r="4" customFormat="false" ht="15" hidden="false" customHeight="true" outlineLevel="0" collapsed="false">
      <c r="A4" s="20" t="s">
        <v>73</v>
      </c>
      <c r="B4" s="5"/>
      <c r="C4" s="21" t="n">
        <v>11</v>
      </c>
      <c r="D4" s="21" t="n">
        <v>3</v>
      </c>
      <c r="E4" s="21" t="n">
        <v>8</v>
      </c>
      <c r="F4" s="21" t="n">
        <v>17</v>
      </c>
      <c r="G4" s="21" t="n">
        <v>15</v>
      </c>
      <c r="H4" s="21" t="n">
        <v>5</v>
      </c>
      <c r="I4" s="21" t="n">
        <v>13</v>
      </c>
      <c r="J4" s="21" t="n">
        <v>9</v>
      </c>
      <c r="K4" s="21" t="n">
        <v>1</v>
      </c>
      <c r="L4" s="5"/>
      <c r="M4" s="21" t="n">
        <v>14</v>
      </c>
      <c r="N4" s="21" t="n">
        <v>7</v>
      </c>
      <c r="O4" s="21" t="n">
        <v>16</v>
      </c>
      <c r="P4" s="21" t="n">
        <v>2</v>
      </c>
      <c r="Q4" s="21" t="n">
        <v>10</v>
      </c>
      <c r="R4" s="21" t="n">
        <v>18</v>
      </c>
      <c r="S4" s="21" t="n">
        <v>6</v>
      </c>
      <c r="T4" s="21" t="n">
        <v>4</v>
      </c>
      <c r="U4" s="21" t="n">
        <v>12</v>
      </c>
      <c r="V4" s="5"/>
      <c r="W4" s="5"/>
    </row>
    <row r="5" customFormat="false" ht="15" hidden="false" customHeight="true" outlineLevel="0" collapsed="false">
      <c r="A5" s="23" t="s">
        <v>74</v>
      </c>
      <c r="B5" s="24" t="n">
        <f aca="false">'Course Handicaps'!G4</f>
        <v>16</v>
      </c>
      <c r="C5" s="21" t="n">
        <v>4</v>
      </c>
      <c r="D5" s="21" t="n">
        <v>7</v>
      </c>
      <c r="E5" s="21" t="n">
        <v>6</v>
      </c>
      <c r="F5" s="21" t="n">
        <v>5</v>
      </c>
      <c r="G5" s="21" t="n">
        <v>4</v>
      </c>
      <c r="H5" s="21" t="n">
        <v>6</v>
      </c>
      <c r="I5" s="21" t="n">
        <v>5</v>
      </c>
      <c r="J5" s="21" t="n">
        <v>4</v>
      </c>
      <c r="K5" s="21" t="n">
        <v>5</v>
      </c>
      <c r="L5" s="22" t="n">
        <f aca="false">IF(COUNT(C5:K5)=0,"",SUM(C5:K5))</f>
        <v>46</v>
      </c>
      <c r="M5" s="21" t="n">
        <v>3</v>
      </c>
      <c r="N5" s="21" t="n">
        <v>5</v>
      </c>
      <c r="O5" s="21" t="n">
        <v>4</v>
      </c>
      <c r="P5" s="21" t="n">
        <v>4</v>
      </c>
      <c r="Q5" s="21" t="n">
        <v>4</v>
      </c>
      <c r="R5" s="21" t="n">
        <v>3</v>
      </c>
      <c r="S5" s="21" t="n">
        <v>5</v>
      </c>
      <c r="T5" s="21" t="n">
        <v>6</v>
      </c>
      <c r="U5" s="21" t="n">
        <v>4</v>
      </c>
      <c r="V5" s="22" t="n">
        <f aca="false">IF(COUNT(M5:U5)=0,"",SUM(M5:U5))</f>
        <v>38</v>
      </c>
      <c r="W5" s="22" t="n">
        <f aca="false">IF(AND(L5="",V5=""),"",SUM(L5,V5))</f>
        <v>84</v>
      </c>
    </row>
    <row r="6" customFormat="false" ht="15" hidden="false" customHeight="true" outlineLevel="0" collapsed="false">
      <c r="A6" s="23" t="s">
        <v>75</v>
      </c>
      <c r="B6" s="5"/>
      <c r="C6" s="22" t="n">
        <f aca="false">IF($B5="","",FLOOR($B5/18,1)+IF(MOD($B5,18)&gt;=C$4,1,0))</f>
        <v>1</v>
      </c>
      <c r="D6" s="22" t="n">
        <f aca="false">IF($B5="","",FLOOR($B5/18,1)+IF(MOD($B5,18)&gt;=D$4,1,0))</f>
        <v>1</v>
      </c>
      <c r="E6" s="22" t="n">
        <f aca="false">IF($B5="","",FLOOR($B5/18,1)+IF(MOD($B5,18)&gt;=E$4,1,0))</f>
        <v>1</v>
      </c>
      <c r="F6" s="22" t="n">
        <f aca="false">IF($B5="","",FLOOR($B5/18,1)+IF(MOD($B5,18)&gt;=F$4,1,0))</f>
        <v>0</v>
      </c>
      <c r="G6" s="22" t="n">
        <f aca="false">IF($B5="","",FLOOR($B5/18,1)+IF(MOD($B5,18)&gt;=G$4,1,0))</f>
        <v>1</v>
      </c>
      <c r="H6" s="22" t="n">
        <f aca="false">IF($B5="","",FLOOR($B5/18,1)+IF(MOD($B5,18)&gt;=H$4,1,0))</f>
        <v>1</v>
      </c>
      <c r="I6" s="22" t="n">
        <f aca="false">IF($B5="","",FLOOR($B5/18,1)+IF(MOD($B5,18)&gt;=I$4,1,0))</f>
        <v>1</v>
      </c>
      <c r="J6" s="22" t="n">
        <f aca="false">IF($B5="","",FLOOR($B5/18,1)+IF(MOD($B5,18)&gt;=J$4,1,0))</f>
        <v>1</v>
      </c>
      <c r="K6" s="22" t="n">
        <f aca="false">IF($B5="","",FLOOR($B5/18,1)+IF(MOD($B5,18)&gt;=K$4,1,0))</f>
        <v>1</v>
      </c>
      <c r="L6" s="22" t="n">
        <f aca="false">IF(COUNT(C6:K6)=0,"",SUM(C6:K6))</f>
        <v>8</v>
      </c>
      <c r="M6" s="22" t="n">
        <f aca="false">IF($B5="","",FLOOR($B5/18,1)+IF(MOD($B5,18)&gt;=M$4,1,0))</f>
        <v>1</v>
      </c>
      <c r="N6" s="22" t="n">
        <f aca="false">IF($B5="","",FLOOR($B5/18,1)+IF(MOD($B5,18)&gt;=N$4,1,0))</f>
        <v>1</v>
      </c>
      <c r="O6" s="22" t="n">
        <f aca="false">IF($B5="","",FLOOR($B5/18,1)+IF(MOD($B5,18)&gt;=O$4,1,0))</f>
        <v>1</v>
      </c>
      <c r="P6" s="22" t="n">
        <f aca="false">IF($B5="","",FLOOR($B5/18,1)+IF(MOD($B5,18)&gt;=P$4,1,0))</f>
        <v>1</v>
      </c>
      <c r="Q6" s="22" t="n">
        <f aca="false">IF($B5="","",FLOOR($B5/18,1)+IF(MOD($B5,18)&gt;=Q$4,1,0))</f>
        <v>1</v>
      </c>
      <c r="R6" s="22" t="n">
        <f aca="false">IF($B5="","",FLOOR($B5/18,1)+IF(MOD($B5,18)&gt;=R$4,1,0))</f>
        <v>0</v>
      </c>
      <c r="S6" s="22" t="n">
        <f aca="false">IF($B5="","",FLOOR($B5/18,1)+IF(MOD($B5,18)&gt;=S$4,1,0))</f>
        <v>1</v>
      </c>
      <c r="T6" s="22" t="n">
        <f aca="false">IF($B5="","",FLOOR($B5/18,1)+IF(MOD($B5,18)&gt;=T$4,1,0))</f>
        <v>1</v>
      </c>
      <c r="U6" s="22" t="n">
        <f aca="false">IF($B5="","",FLOOR($B5/18,1)+IF(MOD($B5,18)&gt;=U$4,1,0))</f>
        <v>1</v>
      </c>
      <c r="V6" s="22" t="n">
        <f aca="false">IF(COUNT(M6:U6)=0,"",SUM(M6:U6))</f>
        <v>8</v>
      </c>
      <c r="W6" s="22" t="n">
        <f aca="false">IF(AND(L6="",V6=""),"",SUM(L6,V6))</f>
        <v>16</v>
      </c>
    </row>
    <row r="7" customFormat="false" ht="15" hidden="false" customHeight="true" outlineLevel="0" collapsed="false">
      <c r="A7" s="23" t="s">
        <v>76</v>
      </c>
      <c r="B7" s="5"/>
      <c r="C7" s="22" t="n">
        <f aca="false">IF(C5="","",MAX(0,2-((C5-C6)-C$3)))</f>
        <v>3</v>
      </c>
      <c r="D7" s="22" t="n">
        <f aca="false">IF(D5="","",MAX(0,2-((D5-D6)-D$3)))</f>
        <v>0</v>
      </c>
      <c r="E7" s="22" t="n">
        <f aca="false">IF(E5="","",MAX(0,2-((E5-E6)-E$3)))</f>
        <v>1</v>
      </c>
      <c r="F7" s="22" t="n">
        <f aca="false">IF(F5="","",MAX(0,2-((F5-F6)-F$3)))</f>
        <v>1</v>
      </c>
      <c r="G7" s="22" t="n">
        <f aca="false">IF(G5="","",MAX(0,2-((G5-G6)-G$3)))</f>
        <v>2</v>
      </c>
      <c r="H7" s="22" t="n">
        <f aca="false">IF(H5="","",MAX(0,2-((H5-H6)-H$3)))</f>
        <v>1</v>
      </c>
      <c r="I7" s="22" t="n">
        <f aca="false">IF(I5="","",MAX(0,2-((I5-I6)-I$3)))</f>
        <v>2</v>
      </c>
      <c r="J7" s="22" t="n">
        <f aca="false">IF(J5="","",MAX(0,2-((J5-J6)-J$3)))</f>
        <v>2</v>
      </c>
      <c r="K7" s="22" t="n">
        <f aca="false">IF(K5="","",MAX(0,2-((K5-K6)-K$3)))</f>
        <v>3</v>
      </c>
      <c r="L7" s="22" t="n">
        <f aca="false">SUM(C7:K7)</f>
        <v>15</v>
      </c>
      <c r="M7" s="22" t="n">
        <f aca="false">IF(M5="","",MAX(0,2-((M5-M6)-M$3)))</f>
        <v>3</v>
      </c>
      <c r="N7" s="22" t="n">
        <f aca="false">IF(N5="","",MAX(0,2-((N5-N6)-N$3)))</f>
        <v>2</v>
      </c>
      <c r="O7" s="22" t="n">
        <f aca="false">IF(O5="","",MAX(0,2-((O5-O6)-O$3)))</f>
        <v>3</v>
      </c>
      <c r="P7" s="22" t="n">
        <f aca="false">IF(P5="","",MAX(0,2-((P5-P6)-P$3)))</f>
        <v>3</v>
      </c>
      <c r="Q7" s="22" t="n">
        <f aca="false">IF(Q5="","",MAX(0,2-((Q5-Q6)-Q$3)))</f>
        <v>3</v>
      </c>
      <c r="R7" s="22" t="n">
        <f aca="false">IF(R5="","",MAX(0,2-((R5-R6)-R$3)))</f>
        <v>2</v>
      </c>
      <c r="S7" s="22" t="n">
        <f aca="false">IF(S5="","",MAX(0,2-((S5-S6)-S$3)))</f>
        <v>3</v>
      </c>
      <c r="T7" s="22" t="n">
        <f aca="false">IF(T5="","",MAX(0,2-((T5-T6)-T$3)))</f>
        <v>1</v>
      </c>
      <c r="U7" s="22" t="n">
        <f aca="false">IF(U5="","",MAX(0,2-((U5-U6)-U$3)))</f>
        <v>3</v>
      </c>
      <c r="V7" s="22" t="n">
        <f aca="false">SUM(M7:U7)</f>
        <v>23</v>
      </c>
      <c r="W7" s="22" t="n">
        <f aca="false">L7+V7</f>
        <v>38</v>
      </c>
    </row>
    <row r="8" customFormat="false" ht="15" hidden="false" customHeight="true" outlineLevel="0" collapsed="false">
      <c r="A8" s="23" t="s">
        <v>77</v>
      </c>
      <c r="B8" s="24" t="n">
        <f aca="false">'Course Handicaps'!G5</f>
        <v>16</v>
      </c>
      <c r="C8" s="21" t="n">
        <v>4</v>
      </c>
      <c r="D8" s="21" t="n">
        <v>5</v>
      </c>
      <c r="E8" s="21" t="n">
        <v>5</v>
      </c>
      <c r="F8" s="21" t="n">
        <v>3</v>
      </c>
      <c r="G8" s="21" t="n">
        <v>4</v>
      </c>
      <c r="H8" s="21" t="n">
        <v>5</v>
      </c>
      <c r="I8" s="21" t="n">
        <v>5</v>
      </c>
      <c r="J8" s="21" t="n">
        <v>4</v>
      </c>
      <c r="K8" s="21" t="n">
        <v>6</v>
      </c>
      <c r="L8" s="22" t="n">
        <f aca="false">IF(COUNT(C8:K8)=0,"",SUM(C8:K8))</f>
        <v>41</v>
      </c>
      <c r="M8" s="21" t="n">
        <v>5</v>
      </c>
      <c r="N8" s="21" t="n">
        <v>4</v>
      </c>
      <c r="O8" s="21" t="n">
        <v>3</v>
      </c>
      <c r="P8" s="21" t="n">
        <v>4</v>
      </c>
      <c r="Q8" s="21" t="n">
        <v>5</v>
      </c>
      <c r="R8" s="21" t="n">
        <v>4</v>
      </c>
      <c r="S8" s="21" t="n">
        <v>8</v>
      </c>
      <c r="T8" s="21" t="n">
        <v>5</v>
      </c>
      <c r="U8" s="21" t="n">
        <v>4</v>
      </c>
      <c r="V8" s="22" t="n">
        <f aca="false">IF(COUNT(M8:U8)=0,"",SUM(M8:U8))</f>
        <v>42</v>
      </c>
      <c r="W8" s="22" t="n">
        <f aca="false">IF(AND(L8="",V8=""),"",SUM(L8,V8))</f>
        <v>83</v>
      </c>
    </row>
    <row r="9" customFormat="false" ht="15" hidden="false" customHeight="true" outlineLevel="0" collapsed="false">
      <c r="A9" s="23" t="s">
        <v>78</v>
      </c>
      <c r="B9" s="5"/>
      <c r="C9" s="22" t="n">
        <f aca="false">IF($B8="","",FLOOR($B8/18,1)+IF(MOD($B8,18)&gt;=C$4,1,0))</f>
        <v>1</v>
      </c>
      <c r="D9" s="22" t="n">
        <f aca="false">IF($B8="","",FLOOR($B8/18,1)+IF(MOD($B8,18)&gt;=D$4,1,0))</f>
        <v>1</v>
      </c>
      <c r="E9" s="22" t="n">
        <f aca="false">IF($B8="","",FLOOR($B8/18,1)+IF(MOD($B8,18)&gt;=E$4,1,0))</f>
        <v>1</v>
      </c>
      <c r="F9" s="22" t="n">
        <f aca="false">IF($B8="","",FLOOR($B8/18,1)+IF(MOD($B8,18)&gt;=F$4,1,0))</f>
        <v>0</v>
      </c>
      <c r="G9" s="22" t="n">
        <f aca="false">IF($B8="","",FLOOR($B8/18,1)+IF(MOD($B8,18)&gt;=G$4,1,0))</f>
        <v>1</v>
      </c>
      <c r="H9" s="22" t="n">
        <f aca="false">IF($B8="","",FLOOR($B8/18,1)+IF(MOD($B8,18)&gt;=H$4,1,0))</f>
        <v>1</v>
      </c>
      <c r="I9" s="22" t="n">
        <f aca="false">IF($B8="","",FLOOR($B8/18,1)+IF(MOD($B8,18)&gt;=I$4,1,0))</f>
        <v>1</v>
      </c>
      <c r="J9" s="22" t="n">
        <f aca="false">IF($B8="","",FLOOR($B8/18,1)+IF(MOD($B8,18)&gt;=J$4,1,0))</f>
        <v>1</v>
      </c>
      <c r="K9" s="22" t="n">
        <f aca="false">IF($B8="","",FLOOR($B8/18,1)+IF(MOD($B8,18)&gt;=K$4,1,0))</f>
        <v>1</v>
      </c>
      <c r="L9" s="22" t="n">
        <f aca="false">IF(COUNT(C9:K9)=0,"",SUM(C9:K9))</f>
        <v>8</v>
      </c>
      <c r="M9" s="22" t="n">
        <f aca="false">IF($B8="","",FLOOR($B8/18,1)+IF(MOD($B8,18)&gt;=M$4,1,0))</f>
        <v>1</v>
      </c>
      <c r="N9" s="22" t="n">
        <f aca="false">IF($B8="","",FLOOR($B8/18,1)+IF(MOD($B8,18)&gt;=N$4,1,0))</f>
        <v>1</v>
      </c>
      <c r="O9" s="22" t="n">
        <f aca="false">IF($B8="","",FLOOR($B8/18,1)+IF(MOD($B8,18)&gt;=O$4,1,0))</f>
        <v>1</v>
      </c>
      <c r="P9" s="22" t="n">
        <f aca="false">IF($B8="","",FLOOR($B8/18,1)+IF(MOD($B8,18)&gt;=P$4,1,0))</f>
        <v>1</v>
      </c>
      <c r="Q9" s="22" t="n">
        <f aca="false">IF($B8="","",FLOOR($B8/18,1)+IF(MOD($B8,18)&gt;=Q$4,1,0))</f>
        <v>1</v>
      </c>
      <c r="R9" s="22" t="n">
        <f aca="false">IF($B8="","",FLOOR($B8/18,1)+IF(MOD($B8,18)&gt;=R$4,1,0))</f>
        <v>0</v>
      </c>
      <c r="S9" s="22" t="n">
        <f aca="false">IF($B8="","",FLOOR($B8/18,1)+IF(MOD($B8,18)&gt;=S$4,1,0))</f>
        <v>1</v>
      </c>
      <c r="T9" s="22" t="n">
        <f aca="false">IF($B8="","",FLOOR($B8/18,1)+IF(MOD($B8,18)&gt;=T$4,1,0))</f>
        <v>1</v>
      </c>
      <c r="U9" s="22" t="n">
        <f aca="false">IF($B8="","",FLOOR($B8/18,1)+IF(MOD($B8,18)&gt;=U$4,1,0))</f>
        <v>1</v>
      </c>
      <c r="V9" s="22" t="n">
        <f aca="false">IF(COUNT(M9:U9)=0,"",SUM(M9:U9))</f>
        <v>8</v>
      </c>
      <c r="W9" s="22" t="n">
        <f aca="false">IF(AND(L9="",V9=""),"",SUM(L9,V9))</f>
        <v>16</v>
      </c>
    </row>
    <row r="10" customFormat="false" ht="15" hidden="false" customHeight="true" outlineLevel="0" collapsed="false">
      <c r="A10" s="23" t="s">
        <v>79</v>
      </c>
      <c r="B10" s="5"/>
      <c r="C10" s="22" t="n">
        <f aca="false">IF(C8="","",MAX(0,2-((C8-C9)-C$3)))</f>
        <v>3</v>
      </c>
      <c r="D10" s="22" t="n">
        <f aca="false">IF(D8="","",MAX(0,2-((D8-D9)-D$3)))</f>
        <v>2</v>
      </c>
      <c r="E10" s="22" t="n">
        <f aca="false">IF(E8="","",MAX(0,2-((E8-E9)-E$3)))</f>
        <v>2</v>
      </c>
      <c r="F10" s="22" t="n">
        <f aca="false">IF(F8="","",MAX(0,2-((F8-F9)-F$3)))</f>
        <v>3</v>
      </c>
      <c r="G10" s="22" t="n">
        <f aca="false">IF(G8="","",MAX(0,2-((G8-G9)-G$3)))</f>
        <v>2</v>
      </c>
      <c r="H10" s="22" t="n">
        <f aca="false">IF(H8="","",MAX(0,2-((H8-H9)-H$3)))</f>
        <v>2</v>
      </c>
      <c r="I10" s="22" t="n">
        <f aca="false">IF(I8="","",MAX(0,2-((I8-I9)-I$3)))</f>
        <v>2</v>
      </c>
      <c r="J10" s="22" t="n">
        <f aca="false">IF(J8="","",MAX(0,2-((J8-J9)-J$3)))</f>
        <v>2</v>
      </c>
      <c r="K10" s="22" t="n">
        <f aca="false">IF(K8="","",MAX(0,2-((K8-K9)-K$3)))</f>
        <v>2</v>
      </c>
      <c r="L10" s="22" t="n">
        <f aca="false">SUM(C10:K10)</f>
        <v>20</v>
      </c>
      <c r="M10" s="22" t="n">
        <f aca="false">IF(M8="","",MAX(0,2-((M8-M9)-M$3)))</f>
        <v>1</v>
      </c>
      <c r="N10" s="22" t="n">
        <f aca="false">IF(N8="","",MAX(0,2-((N8-N9)-N$3)))</f>
        <v>3</v>
      </c>
      <c r="O10" s="22" t="n">
        <f aca="false">IF(O8="","",MAX(0,2-((O8-O9)-O$3)))</f>
        <v>4</v>
      </c>
      <c r="P10" s="22" t="n">
        <f aca="false">IF(P8="","",MAX(0,2-((P8-P9)-P$3)))</f>
        <v>3</v>
      </c>
      <c r="Q10" s="22" t="n">
        <f aca="false">IF(Q8="","",MAX(0,2-((Q8-Q9)-Q$3)))</f>
        <v>2</v>
      </c>
      <c r="R10" s="22" t="n">
        <f aca="false">IF(R8="","",MAX(0,2-((R8-R9)-R$3)))</f>
        <v>1</v>
      </c>
      <c r="S10" s="22" t="n">
        <f aca="false">IF(S8="","",MAX(0,2-((S8-S9)-S$3)))</f>
        <v>0</v>
      </c>
      <c r="T10" s="22" t="n">
        <f aca="false">IF(T8="","",MAX(0,2-((T8-T9)-T$3)))</f>
        <v>2</v>
      </c>
      <c r="U10" s="22" t="n">
        <f aca="false">IF(U8="","",MAX(0,2-((U8-U9)-U$3)))</f>
        <v>3</v>
      </c>
      <c r="V10" s="22" t="n">
        <f aca="false">SUM(M10:U10)</f>
        <v>19</v>
      </c>
      <c r="W10" s="22" t="n">
        <f aca="false">L10+V10</f>
        <v>39</v>
      </c>
    </row>
    <row r="11" customFormat="false" ht="15" hidden="false" customHeight="true" outlineLevel="0" collapsed="false">
      <c r="A11" s="23" t="s">
        <v>80</v>
      </c>
      <c r="B11" s="24" t="n">
        <f aca="false">'Course Handicaps'!G6</f>
        <v>12</v>
      </c>
      <c r="C11" s="21" t="n">
        <v>5</v>
      </c>
      <c r="D11" s="21" t="n">
        <v>7</v>
      </c>
      <c r="E11" s="21" t="n">
        <v>5</v>
      </c>
      <c r="F11" s="21" t="n">
        <v>4</v>
      </c>
      <c r="G11" s="21" t="n">
        <v>3</v>
      </c>
      <c r="H11" s="21" t="n">
        <v>4</v>
      </c>
      <c r="I11" s="21" t="n">
        <v>4</v>
      </c>
      <c r="J11" s="21" t="n">
        <v>3</v>
      </c>
      <c r="K11" s="21" t="n">
        <v>5</v>
      </c>
      <c r="L11" s="22" t="n">
        <f aca="false">IF(COUNT(C11:K11)=0,"",SUM(C11:K11))</f>
        <v>40</v>
      </c>
      <c r="M11" s="21" t="n">
        <v>4</v>
      </c>
      <c r="N11" s="21" t="n">
        <v>4</v>
      </c>
      <c r="O11" s="21" t="n">
        <v>5</v>
      </c>
      <c r="P11" s="21" t="n">
        <v>4</v>
      </c>
      <c r="Q11" s="21" t="n">
        <v>5</v>
      </c>
      <c r="R11" s="21" t="n">
        <v>3</v>
      </c>
      <c r="S11" s="21" t="n">
        <v>7</v>
      </c>
      <c r="T11" s="21" t="n">
        <v>5</v>
      </c>
      <c r="U11" s="21" t="n">
        <v>5</v>
      </c>
      <c r="V11" s="22" t="n">
        <f aca="false">IF(COUNT(M11:U11)=0,"",SUM(M11:U11))</f>
        <v>42</v>
      </c>
      <c r="W11" s="22" t="n">
        <f aca="false">IF(AND(L11="",V11=""),"",SUM(L11,V11))</f>
        <v>82</v>
      </c>
    </row>
    <row r="12" customFormat="false" ht="15" hidden="false" customHeight="true" outlineLevel="0" collapsed="false">
      <c r="A12" s="23" t="s">
        <v>81</v>
      </c>
      <c r="B12" s="5"/>
      <c r="C12" s="22" t="n">
        <f aca="false">IF($B11="","",FLOOR($B11/18,1)+IF(MOD($B11,18)&gt;=C$4,1,0))</f>
        <v>1</v>
      </c>
      <c r="D12" s="22" t="n">
        <f aca="false">IF($B11="","",FLOOR($B11/18,1)+IF(MOD($B11,18)&gt;=D$4,1,0))</f>
        <v>1</v>
      </c>
      <c r="E12" s="22" t="n">
        <f aca="false">IF($B11="","",FLOOR($B11/18,1)+IF(MOD($B11,18)&gt;=E$4,1,0))</f>
        <v>1</v>
      </c>
      <c r="F12" s="22" t="n">
        <f aca="false">IF($B11="","",FLOOR($B11/18,1)+IF(MOD($B11,18)&gt;=F$4,1,0))</f>
        <v>0</v>
      </c>
      <c r="G12" s="22" t="n">
        <f aca="false">IF($B11="","",FLOOR($B11/18,1)+IF(MOD($B11,18)&gt;=G$4,1,0))</f>
        <v>0</v>
      </c>
      <c r="H12" s="22" t="n">
        <f aca="false">IF($B11="","",FLOOR($B11/18,1)+IF(MOD($B11,18)&gt;=H$4,1,0))</f>
        <v>1</v>
      </c>
      <c r="I12" s="22" t="n">
        <f aca="false">IF($B11="","",FLOOR($B11/18,1)+IF(MOD($B11,18)&gt;=I$4,1,0))</f>
        <v>0</v>
      </c>
      <c r="J12" s="22" t="n">
        <f aca="false">IF($B11="","",FLOOR($B11/18,1)+IF(MOD($B11,18)&gt;=J$4,1,0))</f>
        <v>1</v>
      </c>
      <c r="K12" s="22" t="n">
        <f aca="false">IF($B11="","",FLOOR($B11/18,1)+IF(MOD($B11,18)&gt;=K$4,1,0))</f>
        <v>1</v>
      </c>
      <c r="L12" s="22" t="n">
        <f aca="false">IF(COUNT(C12:K12)=0,"",SUM(C12:K12))</f>
        <v>6</v>
      </c>
      <c r="M12" s="22" t="n">
        <f aca="false">IF($B11="","",FLOOR($B11/18,1)+IF(MOD($B11,18)&gt;=M$4,1,0))</f>
        <v>0</v>
      </c>
      <c r="N12" s="22" t="n">
        <f aca="false">IF($B11="","",FLOOR($B11/18,1)+IF(MOD($B11,18)&gt;=N$4,1,0))</f>
        <v>1</v>
      </c>
      <c r="O12" s="22" t="n">
        <f aca="false">IF($B11="","",FLOOR($B11/18,1)+IF(MOD($B11,18)&gt;=O$4,1,0))</f>
        <v>0</v>
      </c>
      <c r="P12" s="22" t="n">
        <f aca="false">IF($B11="","",FLOOR($B11/18,1)+IF(MOD($B11,18)&gt;=P$4,1,0))</f>
        <v>1</v>
      </c>
      <c r="Q12" s="22" t="n">
        <f aca="false">IF($B11="","",FLOOR($B11/18,1)+IF(MOD($B11,18)&gt;=Q$4,1,0))</f>
        <v>1</v>
      </c>
      <c r="R12" s="22" t="n">
        <f aca="false">IF($B11="","",FLOOR($B11/18,1)+IF(MOD($B11,18)&gt;=R$4,1,0))</f>
        <v>0</v>
      </c>
      <c r="S12" s="22" t="n">
        <f aca="false">IF($B11="","",FLOOR($B11/18,1)+IF(MOD($B11,18)&gt;=S$4,1,0))</f>
        <v>1</v>
      </c>
      <c r="T12" s="22" t="n">
        <f aca="false">IF($B11="","",FLOOR($B11/18,1)+IF(MOD($B11,18)&gt;=T$4,1,0))</f>
        <v>1</v>
      </c>
      <c r="U12" s="22" t="n">
        <f aca="false">IF($B11="","",FLOOR($B11/18,1)+IF(MOD($B11,18)&gt;=U$4,1,0))</f>
        <v>1</v>
      </c>
      <c r="V12" s="22" t="n">
        <f aca="false">IF(COUNT(M12:U12)=0,"",SUM(M12:U12))</f>
        <v>6</v>
      </c>
      <c r="W12" s="22" t="n">
        <f aca="false">IF(AND(L12="",V12=""),"",SUM(L12,V12))</f>
        <v>12</v>
      </c>
    </row>
    <row r="13" customFormat="false" ht="15" hidden="false" customHeight="true" outlineLevel="0" collapsed="false">
      <c r="A13" s="23" t="s">
        <v>82</v>
      </c>
      <c r="B13" s="5"/>
      <c r="C13" s="22" t="n">
        <f aca="false">IF(C11="","",MAX(0,2-((C11-C12)-C$3)))</f>
        <v>2</v>
      </c>
      <c r="D13" s="22" t="n">
        <f aca="false">IF(D11="","",MAX(0,2-((D11-D12)-D$3)))</f>
        <v>0</v>
      </c>
      <c r="E13" s="22" t="n">
        <f aca="false">IF(E11="","",MAX(0,2-((E11-E12)-E$3)))</f>
        <v>2</v>
      </c>
      <c r="F13" s="22" t="n">
        <f aca="false">IF(F11="","",MAX(0,2-((F11-F12)-F$3)))</f>
        <v>2</v>
      </c>
      <c r="G13" s="22" t="n">
        <f aca="false">IF(G11="","",MAX(0,2-((G11-G12)-G$3)))</f>
        <v>2</v>
      </c>
      <c r="H13" s="22" t="n">
        <f aca="false">IF(H11="","",MAX(0,2-((H11-H12)-H$3)))</f>
        <v>3</v>
      </c>
      <c r="I13" s="22" t="n">
        <f aca="false">IF(I11="","",MAX(0,2-((I11-I12)-I$3)))</f>
        <v>2</v>
      </c>
      <c r="J13" s="22" t="n">
        <f aca="false">IF(J11="","",MAX(0,2-((J11-J12)-J$3)))</f>
        <v>3</v>
      </c>
      <c r="K13" s="22" t="n">
        <f aca="false">IF(K11="","",MAX(0,2-((K11-K12)-K$3)))</f>
        <v>3</v>
      </c>
      <c r="L13" s="22" t="n">
        <f aca="false">SUM(C13:K13)</f>
        <v>19</v>
      </c>
      <c r="M13" s="22" t="n">
        <f aca="false">IF(M11="","",MAX(0,2-((M11-M12)-M$3)))</f>
        <v>1</v>
      </c>
      <c r="N13" s="22" t="n">
        <f aca="false">IF(N11="","",MAX(0,2-((N11-N12)-N$3)))</f>
        <v>3</v>
      </c>
      <c r="O13" s="22" t="n">
        <f aca="false">IF(O11="","",MAX(0,2-((O11-O12)-O$3)))</f>
        <v>1</v>
      </c>
      <c r="P13" s="22" t="n">
        <f aca="false">IF(P11="","",MAX(0,2-((P11-P12)-P$3)))</f>
        <v>3</v>
      </c>
      <c r="Q13" s="22" t="n">
        <f aca="false">IF(Q11="","",MAX(0,2-((Q11-Q12)-Q$3)))</f>
        <v>2</v>
      </c>
      <c r="R13" s="22" t="n">
        <f aca="false">IF(R11="","",MAX(0,2-((R11-R12)-R$3)))</f>
        <v>2</v>
      </c>
      <c r="S13" s="22" t="n">
        <f aca="false">IF(S11="","",MAX(0,2-((S11-S12)-S$3)))</f>
        <v>1</v>
      </c>
      <c r="T13" s="22" t="n">
        <f aca="false">IF(T11="","",MAX(0,2-((T11-T12)-T$3)))</f>
        <v>2</v>
      </c>
      <c r="U13" s="22" t="n">
        <f aca="false">IF(U11="","",MAX(0,2-((U11-U12)-U$3)))</f>
        <v>2</v>
      </c>
      <c r="V13" s="22" t="n">
        <f aca="false">SUM(M13:U13)</f>
        <v>17</v>
      </c>
      <c r="W13" s="22" t="n">
        <f aca="false">L13+V13</f>
        <v>36</v>
      </c>
    </row>
    <row r="14" customFormat="false" ht="15" hidden="false" customHeight="true" outlineLevel="0" collapsed="false">
      <c r="A14" s="23" t="s">
        <v>83</v>
      </c>
      <c r="B14" s="24" t="n">
        <f aca="false">'Course Handicaps'!G7</f>
        <v>23</v>
      </c>
      <c r="C14" s="21" t="n">
        <v>6</v>
      </c>
      <c r="D14" s="21" t="n">
        <v>7</v>
      </c>
      <c r="E14" s="21" t="n">
        <v>6</v>
      </c>
      <c r="F14" s="21" t="n">
        <v>4</v>
      </c>
      <c r="G14" s="21" t="n">
        <v>2</v>
      </c>
      <c r="H14" s="21" t="n">
        <v>5</v>
      </c>
      <c r="I14" s="21" t="n">
        <v>6</v>
      </c>
      <c r="J14" s="21" t="n">
        <v>6</v>
      </c>
      <c r="K14" s="21" t="n">
        <v>6</v>
      </c>
      <c r="L14" s="22" t="n">
        <f aca="false">IF(COUNT(C14:K14)=0,"",SUM(C14:K14))</f>
        <v>48</v>
      </c>
      <c r="M14" s="21" t="n">
        <v>4</v>
      </c>
      <c r="N14" s="21" t="n">
        <v>5</v>
      </c>
      <c r="O14" s="21" t="n">
        <v>6</v>
      </c>
      <c r="P14" s="21" t="n">
        <v>6</v>
      </c>
      <c r="Q14" s="21" t="n">
        <v>6</v>
      </c>
      <c r="R14" s="21" t="n">
        <v>5</v>
      </c>
      <c r="S14" s="21" t="n">
        <v>5</v>
      </c>
      <c r="T14" s="21" t="n">
        <v>6</v>
      </c>
      <c r="U14" s="21" t="n">
        <v>5</v>
      </c>
      <c r="V14" s="22" t="n">
        <f aca="false">IF(COUNT(M14:U14)=0,"",SUM(M14:U14))</f>
        <v>48</v>
      </c>
      <c r="W14" s="22" t="n">
        <f aca="false">IF(AND(L14="",V14=""),"",SUM(L14,V14))</f>
        <v>96</v>
      </c>
    </row>
    <row r="15" customFormat="false" ht="15" hidden="false" customHeight="true" outlineLevel="0" collapsed="false">
      <c r="A15" s="23" t="s">
        <v>84</v>
      </c>
      <c r="B15" s="5"/>
      <c r="C15" s="22" t="n">
        <f aca="false">IF($B14="","",FLOOR($B14/18,1)+IF(MOD($B14,18)&gt;=C$4,1,0))</f>
        <v>1</v>
      </c>
      <c r="D15" s="22" t="n">
        <f aca="false">IF($B14="","",FLOOR($B14/18,1)+IF(MOD($B14,18)&gt;=D$4,1,0))</f>
        <v>2</v>
      </c>
      <c r="E15" s="22" t="n">
        <f aca="false">IF($B14="","",FLOOR($B14/18,1)+IF(MOD($B14,18)&gt;=E$4,1,0))</f>
        <v>1</v>
      </c>
      <c r="F15" s="22" t="n">
        <f aca="false">IF($B14="","",FLOOR($B14/18,1)+IF(MOD($B14,18)&gt;=F$4,1,0))</f>
        <v>1</v>
      </c>
      <c r="G15" s="22" t="n">
        <f aca="false">IF($B14="","",FLOOR($B14/18,1)+IF(MOD($B14,18)&gt;=G$4,1,0))</f>
        <v>1</v>
      </c>
      <c r="H15" s="22" t="n">
        <f aca="false">IF($B14="","",FLOOR($B14/18,1)+IF(MOD($B14,18)&gt;=H$4,1,0))</f>
        <v>2</v>
      </c>
      <c r="I15" s="22" t="n">
        <f aca="false">IF($B14="","",FLOOR($B14/18,1)+IF(MOD($B14,18)&gt;=I$4,1,0))</f>
        <v>1</v>
      </c>
      <c r="J15" s="22" t="n">
        <f aca="false">IF($B14="","",FLOOR($B14/18,1)+IF(MOD($B14,18)&gt;=J$4,1,0))</f>
        <v>1</v>
      </c>
      <c r="K15" s="22" t="n">
        <f aca="false">IF($B14="","",FLOOR($B14/18,1)+IF(MOD($B14,18)&gt;=K$4,1,0))</f>
        <v>2</v>
      </c>
      <c r="L15" s="22" t="n">
        <f aca="false">IF(COUNT(C15:K15)=0,"",SUM(C15:K15))</f>
        <v>12</v>
      </c>
      <c r="M15" s="22" t="n">
        <f aca="false">IF($B14="","",FLOOR($B14/18,1)+IF(MOD($B14,18)&gt;=M$4,1,0))</f>
        <v>1</v>
      </c>
      <c r="N15" s="22" t="n">
        <f aca="false">IF($B14="","",FLOOR($B14/18,1)+IF(MOD($B14,18)&gt;=N$4,1,0))</f>
        <v>1</v>
      </c>
      <c r="O15" s="22" t="n">
        <f aca="false">IF($B14="","",FLOOR($B14/18,1)+IF(MOD($B14,18)&gt;=O$4,1,0))</f>
        <v>1</v>
      </c>
      <c r="P15" s="22" t="n">
        <f aca="false">IF($B14="","",FLOOR($B14/18,1)+IF(MOD($B14,18)&gt;=P$4,1,0))</f>
        <v>2</v>
      </c>
      <c r="Q15" s="22" t="n">
        <f aca="false">IF($B14="","",FLOOR($B14/18,1)+IF(MOD($B14,18)&gt;=Q$4,1,0))</f>
        <v>1</v>
      </c>
      <c r="R15" s="22" t="n">
        <f aca="false">IF($B14="","",FLOOR($B14/18,1)+IF(MOD($B14,18)&gt;=R$4,1,0))</f>
        <v>1</v>
      </c>
      <c r="S15" s="22" t="n">
        <f aca="false">IF($B14="","",FLOOR($B14/18,1)+IF(MOD($B14,18)&gt;=S$4,1,0))</f>
        <v>1</v>
      </c>
      <c r="T15" s="22" t="n">
        <f aca="false">IF($B14="","",FLOOR($B14/18,1)+IF(MOD($B14,18)&gt;=T$4,1,0))</f>
        <v>2</v>
      </c>
      <c r="U15" s="22" t="n">
        <f aca="false">IF($B14="","",FLOOR($B14/18,1)+IF(MOD($B14,18)&gt;=U$4,1,0))</f>
        <v>1</v>
      </c>
      <c r="V15" s="22" t="n">
        <f aca="false">IF(COUNT(M15:U15)=0,"",SUM(M15:U15))</f>
        <v>11</v>
      </c>
      <c r="W15" s="22" t="n">
        <f aca="false">IF(AND(L15="",V15=""),"",SUM(L15,V15))</f>
        <v>23</v>
      </c>
    </row>
    <row r="16" customFormat="false" ht="15" hidden="false" customHeight="true" outlineLevel="0" collapsed="false">
      <c r="A16" s="23" t="s">
        <v>85</v>
      </c>
      <c r="B16" s="5"/>
      <c r="C16" s="22" t="n">
        <f aca="false">IF(C14="","",MAX(0,2-((C14-C15)-C$3)))</f>
        <v>1</v>
      </c>
      <c r="D16" s="22" t="n">
        <f aca="false">IF(D14="","",MAX(0,2-((D14-D15)-D$3)))</f>
        <v>1</v>
      </c>
      <c r="E16" s="22" t="n">
        <f aca="false">IF(E14="","",MAX(0,2-((E14-E15)-E$3)))</f>
        <v>1</v>
      </c>
      <c r="F16" s="22" t="n">
        <f aca="false">IF(F14="","",MAX(0,2-((F14-F15)-F$3)))</f>
        <v>3</v>
      </c>
      <c r="G16" s="22" t="n">
        <f aca="false">IF(G14="","",MAX(0,2-((G14-G15)-G$3)))</f>
        <v>4</v>
      </c>
      <c r="H16" s="22" t="n">
        <f aca="false">IF(H14="","",MAX(0,2-((H14-H15)-H$3)))</f>
        <v>3</v>
      </c>
      <c r="I16" s="22" t="n">
        <f aca="false">IF(I14="","",MAX(0,2-((I14-I15)-I$3)))</f>
        <v>1</v>
      </c>
      <c r="J16" s="22" t="n">
        <f aca="false">IF(J14="","",MAX(0,2-((J14-J15)-J$3)))</f>
        <v>0</v>
      </c>
      <c r="K16" s="22" t="n">
        <f aca="false">IF(K14="","",MAX(0,2-((K14-K15)-K$3)))</f>
        <v>3</v>
      </c>
      <c r="L16" s="22" t="n">
        <f aca="false">SUM(C16:K16)</f>
        <v>17</v>
      </c>
      <c r="M16" s="22" t="n">
        <f aca="false">IF(M14="","",MAX(0,2-((M14-M15)-M$3)))</f>
        <v>2</v>
      </c>
      <c r="N16" s="22" t="n">
        <f aca="false">IF(N14="","",MAX(0,2-((N14-N15)-N$3)))</f>
        <v>2</v>
      </c>
      <c r="O16" s="22" t="n">
        <f aca="false">IF(O14="","",MAX(0,2-((O14-O15)-O$3)))</f>
        <v>1</v>
      </c>
      <c r="P16" s="22" t="n">
        <f aca="false">IF(P14="","",MAX(0,2-((P14-P15)-P$3)))</f>
        <v>2</v>
      </c>
      <c r="Q16" s="22" t="n">
        <f aca="false">IF(Q14="","",MAX(0,2-((Q14-Q15)-Q$3)))</f>
        <v>1</v>
      </c>
      <c r="R16" s="22" t="n">
        <f aca="false">IF(R14="","",MAX(0,2-((R14-R15)-R$3)))</f>
        <v>1</v>
      </c>
      <c r="S16" s="22" t="n">
        <f aca="false">IF(S14="","",MAX(0,2-((S14-S15)-S$3)))</f>
        <v>3</v>
      </c>
      <c r="T16" s="22" t="n">
        <f aca="false">IF(T14="","",MAX(0,2-((T14-T15)-T$3)))</f>
        <v>2</v>
      </c>
      <c r="U16" s="22" t="n">
        <f aca="false">IF(U14="","",MAX(0,2-((U14-U15)-U$3)))</f>
        <v>2</v>
      </c>
      <c r="V16" s="22" t="n">
        <f aca="false">SUM(M16:U16)</f>
        <v>16</v>
      </c>
      <c r="W16" s="22" t="n">
        <f aca="false">L16+V16</f>
        <v>33</v>
      </c>
    </row>
    <row r="17" customFormat="false" ht="15" hidden="false" customHeight="true" outlineLevel="0" collapsed="false">
      <c r="A17" s="23" t="s">
        <v>86</v>
      </c>
      <c r="B17" s="24" t="n">
        <f aca="false">'Course Handicaps'!G8</f>
        <v>26</v>
      </c>
      <c r="C17" s="21" t="n">
        <v>4</v>
      </c>
      <c r="D17" s="21" t="n">
        <v>5</v>
      </c>
      <c r="E17" s="21" t="n">
        <v>5</v>
      </c>
      <c r="F17" s="21" t="n">
        <v>5</v>
      </c>
      <c r="G17" s="21" t="n">
        <v>5</v>
      </c>
      <c r="H17" s="21" t="n">
        <v>5</v>
      </c>
      <c r="I17" s="21" t="n">
        <v>6</v>
      </c>
      <c r="J17" s="21" t="n">
        <v>5</v>
      </c>
      <c r="K17" s="21" t="n">
        <v>6</v>
      </c>
      <c r="L17" s="22" t="n">
        <f aca="false">IF(COUNT(C17:K17)=0,"",SUM(C17:K17))</f>
        <v>46</v>
      </c>
      <c r="M17" s="21" t="n">
        <v>7</v>
      </c>
      <c r="N17" s="21" t="n">
        <v>7</v>
      </c>
      <c r="O17" s="21" t="n">
        <v>6</v>
      </c>
      <c r="P17" s="21" t="n">
        <v>6</v>
      </c>
      <c r="Q17" s="21" t="n">
        <v>4</v>
      </c>
      <c r="R17" s="21" t="n">
        <v>5</v>
      </c>
      <c r="S17" s="21" t="n">
        <v>8</v>
      </c>
      <c r="T17" s="21" t="n">
        <v>6</v>
      </c>
      <c r="U17" s="21" t="n">
        <v>6</v>
      </c>
      <c r="V17" s="22" t="n">
        <f aca="false">IF(COUNT(M17:U17)=0,"",SUM(M17:U17))</f>
        <v>55</v>
      </c>
      <c r="W17" s="22" t="n">
        <f aca="false">IF(AND(L17="",V17=""),"",SUM(L17,V17))</f>
        <v>101</v>
      </c>
    </row>
    <row r="18" customFormat="false" ht="15" hidden="false" customHeight="true" outlineLevel="0" collapsed="false">
      <c r="A18" s="23" t="s">
        <v>87</v>
      </c>
      <c r="B18" s="5"/>
      <c r="C18" s="22" t="n">
        <f aca="false">IF($B17="","",FLOOR($B17/18,1)+IF(MOD($B17,18)&gt;=C$4,1,0))</f>
        <v>1</v>
      </c>
      <c r="D18" s="22" t="n">
        <f aca="false">IF($B17="","",FLOOR($B17/18,1)+IF(MOD($B17,18)&gt;=D$4,1,0))</f>
        <v>2</v>
      </c>
      <c r="E18" s="22" t="n">
        <f aca="false">IF($B17="","",FLOOR($B17/18,1)+IF(MOD($B17,18)&gt;=E$4,1,0))</f>
        <v>2</v>
      </c>
      <c r="F18" s="22" t="n">
        <f aca="false">IF($B17="","",FLOOR($B17/18,1)+IF(MOD($B17,18)&gt;=F$4,1,0))</f>
        <v>1</v>
      </c>
      <c r="G18" s="22" t="n">
        <f aca="false">IF($B17="","",FLOOR($B17/18,1)+IF(MOD($B17,18)&gt;=G$4,1,0))</f>
        <v>1</v>
      </c>
      <c r="H18" s="22" t="n">
        <f aca="false">IF($B17="","",FLOOR($B17/18,1)+IF(MOD($B17,18)&gt;=H$4,1,0))</f>
        <v>2</v>
      </c>
      <c r="I18" s="22" t="n">
        <f aca="false">IF($B17="","",FLOOR($B17/18,1)+IF(MOD($B17,18)&gt;=I$4,1,0))</f>
        <v>1</v>
      </c>
      <c r="J18" s="22" t="n">
        <f aca="false">IF($B17="","",FLOOR($B17/18,1)+IF(MOD($B17,18)&gt;=J$4,1,0))</f>
        <v>1</v>
      </c>
      <c r="K18" s="22" t="n">
        <f aca="false">IF($B17="","",FLOOR($B17/18,1)+IF(MOD($B17,18)&gt;=K$4,1,0))</f>
        <v>2</v>
      </c>
      <c r="L18" s="22" t="n">
        <f aca="false">IF(COUNT(C18:K18)=0,"",SUM(C18:K18))</f>
        <v>13</v>
      </c>
      <c r="M18" s="22" t="n">
        <f aca="false">IF($B17="","",FLOOR($B17/18,1)+IF(MOD($B17,18)&gt;=M$4,1,0))</f>
        <v>1</v>
      </c>
      <c r="N18" s="22" t="n">
        <f aca="false">IF($B17="","",FLOOR($B17/18,1)+IF(MOD($B17,18)&gt;=N$4,1,0))</f>
        <v>2</v>
      </c>
      <c r="O18" s="22" t="n">
        <f aca="false">IF($B17="","",FLOOR($B17/18,1)+IF(MOD($B17,18)&gt;=O$4,1,0))</f>
        <v>1</v>
      </c>
      <c r="P18" s="22" t="n">
        <f aca="false">IF($B17="","",FLOOR($B17/18,1)+IF(MOD($B17,18)&gt;=P$4,1,0))</f>
        <v>2</v>
      </c>
      <c r="Q18" s="22" t="n">
        <f aca="false">IF($B17="","",FLOOR($B17/18,1)+IF(MOD($B17,18)&gt;=Q$4,1,0))</f>
        <v>1</v>
      </c>
      <c r="R18" s="22" t="n">
        <f aca="false">IF($B17="","",FLOOR($B17/18,1)+IF(MOD($B17,18)&gt;=R$4,1,0))</f>
        <v>1</v>
      </c>
      <c r="S18" s="22" t="n">
        <f aca="false">IF($B17="","",FLOOR($B17/18,1)+IF(MOD($B17,18)&gt;=S$4,1,0))</f>
        <v>2</v>
      </c>
      <c r="T18" s="22" t="n">
        <f aca="false">IF($B17="","",FLOOR($B17/18,1)+IF(MOD($B17,18)&gt;=T$4,1,0))</f>
        <v>2</v>
      </c>
      <c r="U18" s="22" t="n">
        <f aca="false">IF($B17="","",FLOOR($B17/18,1)+IF(MOD($B17,18)&gt;=U$4,1,0))</f>
        <v>1</v>
      </c>
      <c r="V18" s="22" t="n">
        <f aca="false">IF(COUNT(M18:U18)=0,"",SUM(M18:U18))</f>
        <v>13</v>
      </c>
      <c r="W18" s="22" t="n">
        <f aca="false">IF(AND(L18="",V18=""),"",SUM(L18,V18))</f>
        <v>26</v>
      </c>
    </row>
    <row r="19" customFormat="false" ht="15" hidden="false" customHeight="true" outlineLevel="0" collapsed="false">
      <c r="A19" s="23" t="s">
        <v>88</v>
      </c>
      <c r="B19" s="5"/>
      <c r="C19" s="22" t="n">
        <f aca="false">IF(C17="","",MAX(0,2-((C17-C18)-C$3)))</f>
        <v>3</v>
      </c>
      <c r="D19" s="22" t="n">
        <f aca="false">IF(D17="","",MAX(0,2-((D17-D18)-D$3)))</f>
        <v>3</v>
      </c>
      <c r="E19" s="22" t="n">
        <f aca="false">IF(E17="","",MAX(0,2-((E17-E18)-E$3)))</f>
        <v>3</v>
      </c>
      <c r="F19" s="22" t="n">
        <f aca="false">IF(F17="","",MAX(0,2-((F17-F18)-F$3)))</f>
        <v>2</v>
      </c>
      <c r="G19" s="22" t="n">
        <f aca="false">IF(G17="","",MAX(0,2-((G17-G18)-G$3)))</f>
        <v>1</v>
      </c>
      <c r="H19" s="22" t="n">
        <f aca="false">IF(H17="","",MAX(0,2-((H17-H18)-H$3)))</f>
        <v>3</v>
      </c>
      <c r="I19" s="22" t="n">
        <f aca="false">IF(I17="","",MAX(0,2-((I17-I18)-I$3)))</f>
        <v>1</v>
      </c>
      <c r="J19" s="22" t="n">
        <f aca="false">IF(J17="","",MAX(0,2-((J17-J18)-J$3)))</f>
        <v>1</v>
      </c>
      <c r="K19" s="22" t="n">
        <f aca="false">IF(K17="","",MAX(0,2-((K17-K18)-K$3)))</f>
        <v>3</v>
      </c>
      <c r="L19" s="22" t="n">
        <f aca="false">SUM(C19:K19)</f>
        <v>20</v>
      </c>
      <c r="M19" s="22" t="n">
        <f aca="false">IF(M17="","",MAX(0,2-((M17-M18)-M$3)))</f>
        <v>0</v>
      </c>
      <c r="N19" s="22" t="n">
        <f aca="false">IF(N17="","",MAX(0,2-((N17-N18)-N$3)))</f>
        <v>1</v>
      </c>
      <c r="O19" s="22" t="n">
        <f aca="false">IF(O17="","",MAX(0,2-((O17-O18)-O$3)))</f>
        <v>1</v>
      </c>
      <c r="P19" s="22" t="n">
        <f aca="false">IF(P17="","",MAX(0,2-((P17-P18)-P$3)))</f>
        <v>2</v>
      </c>
      <c r="Q19" s="22" t="n">
        <f aca="false">IF(Q17="","",MAX(0,2-((Q17-Q18)-Q$3)))</f>
        <v>3</v>
      </c>
      <c r="R19" s="22" t="n">
        <f aca="false">IF(R17="","",MAX(0,2-((R17-R18)-R$3)))</f>
        <v>1</v>
      </c>
      <c r="S19" s="22" t="n">
        <f aca="false">IF(S17="","",MAX(0,2-((S17-S18)-S$3)))</f>
        <v>1</v>
      </c>
      <c r="T19" s="22" t="n">
        <f aca="false">IF(T17="","",MAX(0,2-((T17-T18)-T$3)))</f>
        <v>2</v>
      </c>
      <c r="U19" s="22" t="n">
        <f aca="false">IF(U17="","",MAX(0,2-((U17-U18)-U$3)))</f>
        <v>1</v>
      </c>
      <c r="V19" s="22" t="n">
        <f aca="false">SUM(M19:U19)</f>
        <v>12</v>
      </c>
      <c r="W19" s="22" t="n">
        <f aca="false">L19+V19</f>
        <v>32</v>
      </c>
    </row>
    <row r="20" customFormat="false" ht="15" hidden="false" customHeight="true" outlineLevel="0" collapsed="false">
      <c r="A20" s="23" t="s">
        <v>89</v>
      </c>
      <c r="B20" s="24" t="n">
        <f aca="false">'Course Handicaps'!G9</f>
        <v>18</v>
      </c>
      <c r="C20" s="21" t="n">
        <v>5</v>
      </c>
      <c r="D20" s="21" t="n">
        <v>6</v>
      </c>
      <c r="E20" s="21" t="n">
        <v>5</v>
      </c>
      <c r="F20" s="21" t="n">
        <v>5</v>
      </c>
      <c r="G20" s="21" t="n">
        <v>4</v>
      </c>
      <c r="H20" s="21" t="n">
        <v>4</v>
      </c>
      <c r="I20" s="21" t="n">
        <v>6</v>
      </c>
      <c r="J20" s="21" t="n">
        <v>5</v>
      </c>
      <c r="K20" s="21" t="n">
        <v>6</v>
      </c>
      <c r="L20" s="22" t="n">
        <f aca="false">IF(COUNT(C20:K20)=0,"",SUM(C20:K20))</f>
        <v>46</v>
      </c>
      <c r="M20" s="21" t="n">
        <v>1</v>
      </c>
      <c r="N20" s="21" t="n">
        <v>4</v>
      </c>
      <c r="O20" s="21" t="n">
        <v>6</v>
      </c>
      <c r="P20" s="21" t="n">
        <v>5</v>
      </c>
      <c r="Q20" s="21" t="n">
        <v>5</v>
      </c>
      <c r="R20" s="21" t="n">
        <v>4</v>
      </c>
      <c r="S20" s="21" t="n">
        <v>6</v>
      </c>
      <c r="T20" s="21" t="n">
        <v>7</v>
      </c>
      <c r="U20" s="21" t="n">
        <v>6</v>
      </c>
      <c r="V20" s="22" t="n">
        <f aca="false">IF(COUNT(M20:U20)=0,"",SUM(M20:U20))</f>
        <v>44</v>
      </c>
      <c r="W20" s="22" t="n">
        <f aca="false">IF(AND(L20="",V20=""),"",SUM(L20,V20))</f>
        <v>90</v>
      </c>
    </row>
    <row r="21" customFormat="false" ht="15" hidden="false" customHeight="true" outlineLevel="0" collapsed="false">
      <c r="A21" s="23" t="s">
        <v>90</v>
      </c>
      <c r="B21" s="5"/>
      <c r="C21" s="22" t="n">
        <f aca="false">IF($B20="","",FLOOR($B20/18,1)+IF(MOD($B20,18)&gt;=C$4,1,0))</f>
        <v>1</v>
      </c>
      <c r="D21" s="22" t="n">
        <f aca="false">IF($B20="","",FLOOR($B20/18,1)+IF(MOD($B20,18)&gt;=D$4,1,0))</f>
        <v>1</v>
      </c>
      <c r="E21" s="22" t="n">
        <f aca="false">IF($B20="","",FLOOR($B20/18,1)+IF(MOD($B20,18)&gt;=E$4,1,0))</f>
        <v>1</v>
      </c>
      <c r="F21" s="22" t="n">
        <f aca="false">IF($B20="","",FLOOR($B20/18,1)+IF(MOD($B20,18)&gt;=F$4,1,0))</f>
        <v>1</v>
      </c>
      <c r="G21" s="22" t="n">
        <f aca="false">IF($B20="","",FLOOR($B20/18,1)+IF(MOD($B20,18)&gt;=G$4,1,0))</f>
        <v>1</v>
      </c>
      <c r="H21" s="22" t="n">
        <f aca="false">IF($B20="","",FLOOR($B20/18,1)+IF(MOD($B20,18)&gt;=H$4,1,0))</f>
        <v>1</v>
      </c>
      <c r="I21" s="22" t="n">
        <f aca="false">IF($B20="","",FLOOR($B20/18,1)+IF(MOD($B20,18)&gt;=I$4,1,0))</f>
        <v>1</v>
      </c>
      <c r="J21" s="22" t="n">
        <f aca="false">IF($B20="","",FLOOR($B20/18,1)+IF(MOD($B20,18)&gt;=J$4,1,0))</f>
        <v>1</v>
      </c>
      <c r="K21" s="22" t="n">
        <f aca="false">IF($B20="","",FLOOR($B20/18,1)+IF(MOD($B20,18)&gt;=K$4,1,0))</f>
        <v>1</v>
      </c>
      <c r="L21" s="22" t="n">
        <f aca="false">IF(COUNT(C21:K21)=0,"",SUM(C21:K21))</f>
        <v>9</v>
      </c>
      <c r="M21" s="22" t="n">
        <f aca="false">IF($B20="","",FLOOR($B20/18,1)+IF(MOD($B20,18)&gt;=M$4,1,0))</f>
        <v>1</v>
      </c>
      <c r="N21" s="22" t="n">
        <f aca="false">IF($B20="","",FLOOR($B20/18,1)+IF(MOD($B20,18)&gt;=N$4,1,0))</f>
        <v>1</v>
      </c>
      <c r="O21" s="22" t="n">
        <f aca="false">IF($B20="","",FLOOR($B20/18,1)+IF(MOD($B20,18)&gt;=O$4,1,0))</f>
        <v>1</v>
      </c>
      <c r="P21" s="22" t="n">
        <f aca="false">IF($B20="","",FLOOR($B20/18,1)+IF(MOD($B20,18)&gt;=P$4,1,0))</f>
        <v>1</v>
      </c>
      <c r="Q21" s="22" t="n">
        <f aca="false">IF($B20="","",FLOOR($B20/18,1)+IF(MOD($B20,18)&gt;=Q$4,1,0))</f>
        <v>1</v>
      </c>
      <c r="R21" s="22" t="n">
        <f aca="false">IF($B20="","",FLOOR($B20/18,1)+IF(MOD($B20,18)&gt;=R$4,1,0))</f>
        <v>1</v>
      </c>
      <c r="S21" s="22" t="n">
        <f aca="false">IF($B20="","",FLOOR($B20/18,1)+IF(MOD($B20,18)&gt;=S$4,1,0))</f>
        <v>1</v>
      </c>
      <c r="T21" s="22" t="n">
        <f aca="false">IF($B20="","",FLOOR($B20/18,1)+IF(MOD($B20,18)&gt;=T$4,1,0))</f>
        <v>1</v>
      </c>
      <c r="U21" s="22" t="n">
        <f aca="false">IF($B20="","",FLOOR($B20/18,1)+IF(MOD($B20,18)&gt;=U$4,1,0))</f>
        <v>1</v>
      </c>
      <c r="V21" s="22" t="n">
        <f aca="false">IF(COUNT(M21:U21)=0,"",SUM(M21:U21))</f>
        <v>9</v>
      </c>
      <c r="W21" s="22" t="n">
        <f aca="false">IF(AND(L21="",V21=""),"",SUM(L21,V21))</f>
        <v>18</v>
      </c>
    </row>
    <row r="22" customFormat="false" ht="15" hidden="false" customHeight="true" outlineLevel="0" collapsed="false">
      <c r="A22" s="23" t="s">
        <v>91</v>
      </c>
      <c r="B22" s="5"/>
      <c r="C22" s="22" t="n">
        <f aca="false">IF(C20="","",MAX(0,2-((C20-C21)-C$3)))</f>
        <v>2</v>
      </c>
      <c r="D22" s="22" t="n">
        <f aca="false">IF(D20="","",MAX(0,2-((D20-D21)-D$3)))</f>
        <v>1</v>
      </c>
      <c r="E22" s="22" t="n">
        <f aca="false">IF(E20="","",MAX(0,2-((E20-E21)-E$3)))</f>
        <v>2</v>
      </c>
      <c r="F22" s="22" t="n">
        <f aca="false">IF(F20="","",MAX(0,2-((F20-F21)-F$3)))</f>
        <v>2</v>
      </c>
      <c r="G22" s="22" t="n">
        <f aca="false">IF(G20="","",MAX(0,2-((G20-G21)-G$3)))</f>
        <v>2</v>
      </c>
      <c r="H22" s="22" t="n">
        <f aca="false">IF(H20="","",MAX(0,2-((H20-H21)-H$3)))</f>
        <v>3</v>
      </c>
      <c r="I22" s="22" t="n">
        <f aca="false">IF(I20="","",MAX(0,2-((I20-I21)-I$3)))</f>
        <v>1</v>
      </c>
      <c r="J22" s="22" t="n">
        <f aca="false">IF(J20="","",MAX(0,2-((J20-J21)-J$3)))</f>
        <v>1</v>
      </c>
      <c r="K22" s="22" t="n">
        <f aca="false">IF(K20="","",MAX(0,2-((K20-K21)-K$3)))</f>
        <v>2</v>
      </c>
      <c r="L22" s="22" t="n">
        <f aca="false">SUM(C22:K22)</f>
        <v>16</v>
      </c>
      <c r="M22" s="22" t="n">
        <f aca="false">IF(M20="","",MAX(0,2-((M20-M21)-M$3)))</f>
        <v>5</v>
      </c>
      <c r="N22" s="22" t="n">
        <f aca="false">IF(N20="","",MAX(0,2-((N20-N21)-N$3)))</f>
        <v>3</v>
      </c>
      <c r="O22" s="22" t="n">
        <f aca="false">IF(O20="","",MAX(0,2-((O20-O21)-O$3)))</f>
        <v>1</v>
      </c>
      <c r="P22" s="22" t="n">
        <f aca="false">IF(P20="","",MAX(0,2-((P20-P21)-P$3)))</f>
        <v>2</v>
      </c>
      <c r="Q22" s="22" t="n">
        <f aca="false">IF(Q20="","",MAX(0,2-((Q20-Q21)-Q$3)))</f>
        <v>2</v>
      </c>
      <c r="R22" s="22" t="n">
        <f aca="false">IF(R20="","",MAX(0,2-((R20-R21)-R$3)))</f>
        <v>2</v>
      </c>
      <c r="S22" s="22" t="n">
        <f aca="false">IF(S20="","",MAX(0,2-((S20-S21)-S$3)))</f>
        <v>2</v>
      </c>
      <c r="T22" s="22" t="n">
        <f aca="false">IF(T20="","",MAX(0,2-((T20-T21)-T$3)))</f>
        <v>0</v>
      </c>
      <c r="U22" s="22" t="n">
        <f aca="false">IF(U20="","",MAX(0,2-((U20-U21)-U$3)))</f>
        <v>1</v>
      </c>
      <c r="V22" s="22" t="n">
        <f aca="false">SUM(M22:U22)</f>
        <v>18</v>
      </c>
      <c r="W22" s="22" t="n">
        <f aca="false">L22+V22</f>
        <v>34</v>
      </c>
    </row>
    <row r="23" customFormat="false" ht="15" hidden="false" customHeight="true" outlineLevel="0" collapsed="false">
      <c r="A23" s="23" t="s">
        <v>92</v>
      </c>
      <c r="B23" s="24" t="n">
        <f aca="false">'Course Handicaps'!G10</f>
        <v>15</v>
      </c>
      <c r="C23" s="21" t="n">
        <v>6</v>
      </c>
      <c r="D23" s="21" t="n">
        <v>6</v>
      </c>
      <c r="E23" s="21" t="n">
        <v>6</v>
      </c>
      <c r="F23" s="21" t="n">
        <v>4</v>
      </c>
      <c r="G23" s="21" t="n">
        <v>4</v>
      </c>
      <c r="H23" s="21" t="n">
        <v>4</v>
      </c>
      <c r="I23" s="21" t="n">
        <v>5</v>
      </c>
      <c r="J23" s="21" t="n">
        <v>4</v>
      </c>
      <c r="K23" s="21" t="n">
        <v>5</v>
      </c>
      <c r="L23" s="22" t="n">
        <f aca="false">IF(COUNT(C23:K23)=0,"",SUM(C23:K23))</f>
        <v>44</v>
      </c>
      <c r="M23" s="21" t="n">
        <v>4</v>
      </c>
      <c r="N23" s="21" t="n">
        <v>5</v>
      </c>
      <c r="O23" s="21" t="n">
        <v>4</v>
      </c>
      <c r="P23" s="21" t="n">
        <v>5</v>
      </c>
      <c r="Q23" s="21" t="n">
        <v>4</v>
      </c>
      <c r="R23" s="21" t="n">
        <v>4</v>
      </c>
      <c r="S23" s="21" t="n">
        <v>7</v>
      </c>
      <c r="T23" s="21" t="n">
        <v>5</v>
      </c>
      <c r="U23" s="21" t="n">
        <v>4</v>
      </c>
      <c r="V23" s="22" t="n">
        <f aca="false">IF(COUNT(M23:U23)=0,"",SUM(M23:U23))</f>
        <v>42</v>
      </c>
      <c r="W23" s="22" t="n">
        <f aca="false">IF(AND(L23="",V23=""),"",SUM(L23,V23))</f>
        <v>86</v>
      </c>
    </row>
    <row r="24" customFormat="false" ht="15" hidden="false" customHeight="true" outlineLevel="0" collapsed="false">
      <c r="A24" s="23" t="s">
        <v>93</v>
      </c>
      <c r="B24" s="5"/>
      <c r="C24" s="22" t="n">
        <f aca="false">IF($B23="","",FLOOR($B23/18,1)+IF(MOD($B23,18)&gt;=C$4,1,0))</f>
        <v>1</v>
      </c>
      <c r="D24" s="22" t="n">
        <f aca="false">IF($B23="","",FLOOR($B23/18,1)+IF(MOD($B23,18)&gt;=D$4,1,0))</f>
        <v>1</v>
      </c>
      <c r="E24" s="22" t="n">
        <f aca="false">IF($B23="","",FLOOR($B23/18,1)+IF(MOD($B23,18)&gt;=E$4,1,0))</f>
        <v>1</v>
      </c>
      <c r="F24" s="22" t="n">
        <f aca="false">IF($B23="","",FLOOR($B23/18,1)+IF(MOD($B23,18)&gt;=F$4,1,0))</f>
        <v>0</v>
      </c>
      <c r="G24" s="22" t="n">
        <f aca="false">IF($B23="","",FLOOR($B23/18,1)+IF(MOD($B23,18)&gt;=G$4,1,0))</f>
        <v>1</v>
      </c>
      <c r="H24" s="22" t="n">
        <f aca="false">IF($B23="","",FLOOR($B23/18,1)+IF(MOD($B23,18)&gt;=H$4,1,0))</f>
        <v>1</v>
      </c>
      <c r="I24" s="22" t="n">
        <f aca="false">IF($B23="","",FLOOR($B23/18,1)+IF(MOD($B23,18)&gt;=I$4,1,0))</f>
        <v>1</v>
      </c>
      <c r="J24" s="22" t="n">
        <f aca="false">IF($B23="","",FLOOR($B23/18,1)+IF(MOD($B23,18)&gt;=J$4,1,0))</f>
        <v>1</v>
      </c>
      <c r="K24" s="22" t="n">
        <f aca="false">IF($B23="","",FLOOR($B23/18,1)+IF(MOD($B23,18)&gt;=K$4,1,0))</f>
        <v>1</v>
      </c>
      <c r="L24" s="22" t="n">
        <f aca="false">IF(COUNT(C24:K24)=0,"",SUM(C24:K24))</f>
        <v>8</v>
      </c>
      <c r="M24" s="22" t="n">
        <f aca="false">IF($B23="","",FLOOR($B23/18,1)+IF(MOD($B23,18)&gt;=M$4,1,0))</f>
        <v>1</v>
      </c>
      <c r="N24" s="22" t="n">
        <f aca="false">IF($B23="","",FLOOR($B23/18,1)+IF(MOD($B23,18)&gt;=N$4,1,0))</f>
        <v>1</v>
      </c>
      <c r="O24" s="22" t="n">
        <f aca="false">IF($B23="","",FLOOR($B23/18,1)+IF(MOD($B23,18)&gt;=O$4,1,0))</f>
        <v>0</v>
      </c>
      <c r="P24" s="22" t="n">
        <f aca="false">IF($B23="","",FLOOR($B23/18,1)+IF(MOD($B23,18)&gt;=P$4,1,0))</f>
        <v>1</v>
      </c>
      <c r="Q24" s="22" t="n">
        <f aca="false">IF($B23="","",FLOOR($B23/18,1)+IF(MOD($B23,18)&gt;=Q$4,1,0))</f>
        <v>1</v>
      </c>
      <c r="R24" s="22" t="n">
        <f aca="false">IF($B23="","",FLOOR($B23/18,1)+IF(MOD($B23,18)&gt;=R$4,1,0))</f>
        <v>0</v>
      </c>
      <c r="S24" s="22" t="n">
        <f aca="false">IF($B23="","",FLOOR($B23/18,1)+IF(MOD($B23,18)&gt;=S$4,1,0))</f>
        <v>1</v>
      </c>
      <c r="T24" s="22" t="n">
        <f aca="false">IF($B23="","",FLOOR($B23/18,1)+IF(MOD($B23,18)&gt;=T$4,1,0))</f>
        <v>1</v>
      </c>
      <c r="U24" s="22" t="n">
        <f aca="false">IF($B23="","",FLOOR($B23/18,1)+IF(MOD($B23,18)&gt;=U$4,1,0))</f>
        <v>1</v>
      </c>
      <c r="V24" s="22" t="n">
        <f aca="false">IF(COUNT(M24:U24)=0,"",SUM(M24:U24))</f>
        <v>7</v>
      </c>
      <c r="W24" s="22" t="n">
        <f aca="false">IF(AND(L24="",V24=""),"",SUM(L24,V24))</f>
        <v>15</v>
      </c>
    </row>
    <row r="25" customFormat="false" ht="15" hidden="false" customHeight="true" outlineLevel="0" collapsed="false">
      <c r="A25" s="23" t="s">
        <v>94</v>
      </c>
      <c r="B25" s="5"/>
      <c r="C25" s="22" t="n">
        <f aca="false">IF(C23="","",MAX(0,2-((C23-C24)-C$3)))</f>
        <v>1</v>
      </c>
      <c r="D25" s="22" t="n">
        <f aca="false">IF(D23="","",MAX(0,2-((D23-D24)-D$3)))</f>
        <v>1</v>
      </c>
      <c r="E25" s="22" t="n">
        <f aca="false">IF(E23="","",MAX(0,2-((E23-E24)-E$3)))</f>
        <v>1</v>
      </c>
      <c r="F25" s="22" t="n">
        <f aca="false">IF(F23="","",MAX(0,2-((F23-F24)-F$3)))</f>
        <v>2</v>
      </c>
      <c r="G25" s="22" t="n">
        <f aca="false">IF(G23="","",MAX(0,2-((G23-G24)-G$3)))</f>
        <v>2</v>
      </c>
      <c r="H25" s="22" t="n">
        <f aca="false">IF(H23="","",MAX(0,2-((H23-H24)-H$3)))</f>
        <v>3</v>
      </c>
      <c r="I25" s="22" t="n">
        <f aca="false">IF(I23="","",MAX(0,2-((I23-I24)-I$3)))</f>
        <v>2</v>
      </c>
      <c r="J25" s="22" t="n">
        <f aca="false">IF(J23="","",MAX(0,2-((J23-J24)-J$3)))</f>
        <v>2</v>
      </c>
      <c r="K25" s="22" t="n">
        <f aca="false">IF(K23="","",MAX(0,2-((K23-K24)-K$3)))</f>
        <v>3</v>
      </c>
      <c r="L25" s="22" t="n">
        <f aca="false">SUM(C25:K25)</f>
        <v>17</v>
      </c>
      <c r="M25" s="22" t="n">
        <f aca="false">IF(M23="","",MAX(0,2-((M23-M24)-M$3)))</f>
        <v>2</v>
      </c>
      <c r="N25" s="22" t="n">
        <f aca="false">IF(N23="","",MAX(0,2-((N23-N24)-N$3)))</f>
        <v>2</v>
      </c>
      <c r="O25" s="22" t="n">
        <f aca="false">IF(O23="","",MAX(0,2-((O23-O24)-O$3)))</f>
        <v>2</v>
      </c>
      <c r="P25" s="22" t="n">
        <f aca="false">IF(P23="","",MAX(0,2-((P23-P24)-P$3)))</f>
        <v>2</v>
      </c>
      <c r="Q25" s="22" t="n">
        <f aca="false">IF(Q23="","",MAX(0,2-((Q23-Q24)-Q$3)))</f>
        <v>3</v>
      </c>
      <c r="R25" s="22" t="n">
        <f aca="false">IF(R23="","",MAX(0,2-((R23-R24)-R$3)))</f>
        <v>1</v>
      </c>
      <c r="S25" s="22" t="n">
        <f aca="false">IF(S23="","",MAX(0,2-((S23-S24)-S$3)))</f>
        <v>1</v>
      </c>
      <c r="T25" s="22" t="n">
        <f aca="false">IF(T23="","",MAX(0,2-((T23-T24)-T$3)))</f>
        <v>2</v>
      </c>
      <c r="U25" s="22" t="n">
        <f aca="false">IF(U23="","",MAX(0,2-((U23-U24)-U$3)))</f>
        <v>3</v>
      </c>
      <c r="V25" s="22" t="n">
        <f aca="false">SUM(M25:U25)</f>
        <v>18</v>
      </c>
      <c r="W25" s="22" t="n">
        <f aca="false">L25+V25</f>
        <v>35</v>
      </c>
    </row>
    <row r="26" customFormat="false" ht="15" hidden="false" customHeight="true" outlineLevel="0" collapsed="false">
      <c r="A26" s="23" t="s">
        <v>95</v>
      </c>
      <c r="B26" s="24" t="n">
        <f aca="false">'Course Handicaps'!G11</f>
        <v>26</v>
      </c>
      <c r="C26" s="21" t="n">
        <v>7</v>
      </c>
      <c r="D26" s="21" t="n">
        <v>5</v>
      </c>
      <c r="E26" s="21" t="n">
        <v>5</v>
      </c>
      <c r="F26" s="21" t="n">
        <v>5</v>
      </c>
      <c r="G26" s="21" t="n">
        <v>4</v>
      </c>
      <c r="H26" s="21" t="n">
        <v>6</v>
      </c>
      <c r="I26" s="21" t="n">
        <v>7</v>
      </c>
      <c r="J26" s="21" t="n">
        <v>3</v>
      </c>
      <c r="K26" s="21" t="n">
        <v>6</v>
      </c>
      <c r="L26" s="22" t="n">
        <f aca="false">IF(COUNT(C26:K26)=0,"",SUM(C26:K26))</f>
        <v>48</v>
      </c>
      <c r="M26" s="21" t="n">
        <v>3</v>
      </c>
      <c r="N26" s="21" t="n">
        <v>5</v>
      </c>
      <c r="O26" s="21" t="n">
        <v>5</v>
      </c>
      <c r="P26" s="21" t="n">
        <v>7</v>
      </c>
      <c r="Q26" s="21" t="n">
        <v>6</v>
      </c>
      <c r="R26" s="21" t="n">
        <v>4</v>
      </c>
      <c r="S26" s="21" t="n">
        <v>6</v>
      </c>
      <c r="T26" s="21" t="n">
        <v>7</v>
      </c>
      <c r="U26" s="21" t="n">
        <v>5</v>
      </c>
      <c r="V26" s="22" t="n">
        <f aca="false">IF(COUNT(M26:U26)=0,"",SUM(M26:U26))</f>
        <v>48</v>
      </c>
      <c r="W26" s="22" t="n">
        <f aca="false">IF(AND(L26="",V26=""),"",SUM(L26,V26))</f>
        <v>96</v>
      </c>
    </row>
    <row r="27" customFormat="false" ht="15" hidden="false" customHeight="true" outlineLevel="0" collapsed="false">
      <c r="A27" s="23" t="s">
        <v>96</v>
      </c>
      <c r="B27" s="5"/>
      <c r="C27" s="22" t="n">
        <f aca="false">IF($B26="","",FLOOR($B26/18,1)+IF(MOD($B26,18)&gt;=C$4,1,0))</f>
        <v>1</v>
      </c>
      <c r="D27" s="22" t="n">
        <f aca="false">IF($B26="","",FLOOR($B26/18,1)+IF(MOD($B26,18)&gt;=D$4,1,0))</f>
        <v>2</v>
      </c>
      <c r="E27" s="22" t="n">
        <f aca="false">IF($B26="","",FLOOR($B26/18,1)+IF(MOD($B26,18)&gt;=E$4,1,0))</f>
        <v>2</v>
      </c>
      <c r="F27" s="22" t="n">
        <f aca="false">IF($B26="","",FLOOR($B26/18,1)+IF(MOD($B26,18)&gt;=F$4,1,0))</f>
        <v>1</v>
      </c>
      <c r="G27" s="22" t="n">
        <f aca="false">IF($B26="","",FLOOR($B26/18,1)+IF(MOD($B26,18)&gt;=G$4,1,0))</f>
        <v>1</v>
      </c>
      <c r="H27" s="22" t="n">
        <f aca="false">IF($B26="","",FLOOR($B26/18,1)+IF(MOD($B26,18)&gt;=H$4,1,0))</f>
        <v>2</v>
      </c>
      <c r="I27" s="22" t="n">
        <f aca="false">IF($B26="","",FLOOR($B26/18,1)+IF(MOD($B26,18)&gt;=I$4,1,0))</f>
        <v>1</v>
      </c>
      <c r="J27" s="22" t="n">
        <f aca="false">IF($B26="","",FLOOR($B26/18,1)+IF(MOD($B26,18)&gt;=J$4,1,0))</f>
        <v>1</v>
      </c>
      <c r="K27" s="22" t="n">
        <f aca="false">IF($B26="","",FLOOR($B26/18,1)+IF(MOD($B26,18)&gt;=K$4,1,0))</f>
        <v>2</v>
      </c>
      <c r="L27" s="22" t="n">
        <f aca="false">IF(COUNT(C27:K27)=0,"",SUM(C27:K27))</f>
        <v>13</v>
      </c>
      <c r="M27" s="22" t="n">
        <f aca="false">IF($B26="","",FLOOR($B26/18,1)+IF(MOD($B26,18)&gt;=M$4,1,0))</f>
        <v>1</v>
      </c>
      <c r="N27" s="22" t="n">
        <f aca="false">IF($B26="","",FLOOR($B26/18,1)+IF(MOD($B26,18)&gt;=N$4,1,0))</f>
        <v>2</v>
      </c>
      <c r="O27" s="22" t="n">
        <f aca="false">IF($B26="","",FLOOR($B26/18,1)+IF(MOD($B26,18)&gt;=O$4,1,0))</f>
        <v>1</v>
      </c>
      <c r="P27" s="22" t="n">
        <f aca="false">IF($B26="","",FLOOR($B26/18,1)+IF(MOD($B26,18)&gt;=P$4,1,0))</f>
        <v>2</v>
      </c>
      <c r="Q27" s="22" t="n">
        <f aca="false">IF($B26="","",FLOOR($B26/18,1)+IF(MOD($B26,18)&gt;=Q$4,1,0))</f>
        <v>1</v>
      </c>
      <c r="R27" s="22" t="n">
        <f aca="false">IF($B26="","",FLOOR($B26/18,1)+IF(MOD($B26,18)&gt;=R$4,1,0))</f>
        <v>1</v>
      </c>
      <c r="S27" s="22" t="n">
        <f aca="false">IF($B26="","",FLOOR($B26/18,1)+IF(MOD($B26,18)&gt;=S$4,1,0))</f>
        <v>2</v>
      </c>
      <c r="T27" s="22" t="n">
        <f aca="false">IF($B26="","",FLOOR($B26/18,1)+IF(MOD($B26,18)&gt;=T$4,1,0))</f>
        <v>2</v>
      </c>
      <c r="U27" s="22" t="n">
        <f aca="false">IF($B26="","",FLOOR($B26/18,1)+IF(MOD($B26,18)&gt;=U$4,1,0))</f>
        <v>1</v>
      </c>
      <c r="V27" s="22" t="n">
        <f aca="false">IF(COUNT(M27:U27)=0,"",SUM(M27:U27))</f>
        <v>13</v>
      </c>
      <c r="W27" s="22" t="n">
        <f aca="false">IF(AND(L27="",V27=""),"",SUM(L27,V27))</f>
        <v>26</v>
      </c>
    </row>
    <row r="28" customFormat="false" ht="15" hidden="false" customHeight="true" outlineLevel="0" collapsed="false">
      <c r="A28" s="23" t="s">
        <v>97</v>
      </c>
      <c r="B28" s="5"/>
      <c r="C28" s="22" t="n">
        <f aca="false">IF(C26="","",MAX(0,2-((C26-C27)-C$3)))</f>
        <v>0</v>
      </c>
      <c r="D28" s="22" t="n">
        <f aca="false">IF(D26="","",MAX(0,2-((D26-D27)-D$3)))</f>
        <v>3</v>
      </c>
      <c r="E28" s="22" t="n">
        <f aca="false">IF(E26="","",MAX(0,2-((E26-E27)-E$3)))</f>
        <v>3</v>
      </c>
      <c r="F28" s="22" t="n">
        <f aca="false">IF(F26="","",MAX(0,2-((F26-F27)-F$3)))</f>
        <v>2</v>
      </c>
      <c r="G28" s="22" t="n">
        <f aca="false">IF(G26="","",MAX(0,2-((G26-G27)-G$3)))</f>
        <v>2</v>
      </c>
      <c r="H28" s="22" t="n">
        <f aca="false">IF(H26="","",MAX(0,2-((H26-H27)-H$3)))</f>
        <v>2</v>
      </c>
      <c r="I28" s="22" t="n">
        <f aca="false">IF(I26="","",MAX(0,2-((I26-I27)-I$3)))</f>
        <v>0</v>
      </c>
      <c r="J28" s="22" t="n">
        <f aca="false">IF(J26="","",MAX(0,2-((J26-J27)-J$3)))</f>
        <v>3</v>
      </c>
      <c r="K28" s="22" t="n">
        <f aca="false">IF(K26="","",MAX(0,2-((K26-K27)-K$3)))</f>
        <v>3</v>
      </c>
      <c r="L28" s="22" t="n">
        <f aca="false">SUM(C28:K28)</f>
        <v>18</v>
      </c>
      <c r="M28" s="22" t="n">
        <f aca="false">IF(M26="","",MAX(0,2-((M26-M27)-M$3)))</f>
        <v>3</v>
      </c>
      <c r="N28" s="22" t="n">
        <f aca="false">IF(N26="","",MAX(0,2-((N26-N27)-N$3)))</f>
        <v>3</v>
      </c>
      <c r="O28" s="22" t="n">
        <f aca="false">IF(O26="","",MAX(0,2-((O26-O27)-O$3)))</f>
        <v>2</v>
      </c>
      <c r="P28" s="22" t="n">
        <f aca="false">IF(P26="","",MAX(0,2-((P26-P27)-P$3)))</f>
        <v>1</v>
      </c>
      <c r="Q28" s="22" t="n">
        <f aca="false">IF(Q26="","",MAX(0,2-((Q26-Q27)-Q$3)))</f>
        <v>1</v>
      </c>
      <c r="R28" s="22" t="n">
        <f aca="false">IF(R26="","",MAX(0,2-((R26-R27)-R$3)))</f>
        <v>2</v>
      </c>
      <c r="S28" s="22" t="n">
        <f aca="false">IF(S26="","",MAX(0,2-((S26-S27)-S$3)))</f>
        <v>3</v>
      </c>
      <c r="T28" s="22" t="n">
        <f aca="false">IF(T26="","",MAX(0,2-((T26-T27)-T$3)))</f>
        <v>1</v>
      </c>
      <c r="U28" s="22" t="n">
        <f aca="false">IF(U26="","",MAX(0,2-((U26-U27)-U$3)))</f>
        <v>2</v>
      </c>
      <c r="V28" s="22" t="n">
        <f aca="false">SUM(M28:U28)</f>
        <v>18</v>
      </c>
      <c r="W28" s="22" t="n">
        <f aca="false">L28+V28</f>
        <v>36</v>
      </c>
    </row>
    <row r="29" customFormat="false" ht="15" hidden="false" customHeight="true" outlineLevel="0" collapsed="false">
      <c r="A29" s="5"/>
      <c r="B29" s="5"/>
      <c r="C29" s="5"/>
      <c r="D29" s="5"/>
      <c r="E29" s="5"/>
      <c r="F29" s="5"/>
      <c r="G29" s="5"/>
      <c r="H29" s="5"/>
      <c r="I29" s="5"/>
      <c r="J29" s="5"/>
      <c r="K29" s="5"/>
      <c r="L29" s="5"/>
      <c r="M29" s="5"/>
      <c r="N29" s="5"/>
      <c r="O29" s="5"/>
      <c r="P29" s="5"/>
      <c r="Q29" s="5"/>
      <c r="R29" s="5"/>
      <c r="S29" s="5"/>
      <c r="T29" s="5"/>
      <c r="U29" s="5"/>
      <c r="V29" s="5"/>
      <c r="W29" s="5"/>
    </row>
    <row r="30" customFormat="false" ht="15" hidden="false" customHeight="true" outlineLevel="0" collapsed="false">
      <c r="A30" s="18" t="s">
        <v>98</v>
      </c>
      <c r="B30" s="18"/>
      <c r="C30" s="18"/>
      <c r="D30" s="18"/>
      <c r="E30" s="18"/>
      <c r="F30" s="18"/>
      <c r="G30" s="18"/>
      <c r="H30" s="18"/>
      <c r="I30" s="18"/>
      <c r="J30" s="18"/>
      <c r="K30" s="18"/>
      <c r="L30" s="18"/>
      <c r="M30" s="18"/>
      <c r="N30" s="18"/>
      <c r="O30" s="18"/>
      <c r="P30" s="18"/>
      <c r="Q30" s="18"/>
      <c r="R30" s="18"/>
      <c r="S30" s="18"/>
      <c r="T30" s="18"/>
      <c r="U30" s="18"/>
      <c r="V30" s="18"/>
      <c r="W30" s="18"/>
    </row>
  </sheetData>
  <mergeCells count="2">
    <mergeCell ref="A1:W1"/>
    <mergeCell ref="A30:W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L38" activeCellId="0" sqref="L38"/>
    </sheetView>
  </sheetViews>
  <sheetFormatPr defaultColWidth="8.66796875" defaultRowHeight="15" customHeight="false" zeroHeight="false" outlineLevelRow="0" outlineLevelCol="0"/>
  <cols>
    <col collapsed="false" customWidth="true" hidden="false" outlineLevel="0" max="1" min="1" style="0" width="22.67"/>
    <col collapsed="false" customWidth="true" hidden="false" outlineLevel="0" max="2" min="2" style="0" width="7"/>
    <col collapsed="false" customWidth="true" hidden="false" outlineLevel="0" max="20" min="3" style="0" width="6.51"/>
    <col collapsed="false" customWidth="true" hidden="false" outlineLevel="0" max="21" min="21" style="0" width="7"/>
    <col collapsed="false" customWidth="true" hidden="false" outlineLevel="0" max="23" min="23" style="0" width="8"/>
  </cols>
  <sheetData>
    <row r="1" customFormat="false" ht="24" hidden="false" customHeight="true" outlineLevel="0" collapsed="false">
      <c r="A1" s="19" t="s">
        <v>99</v>
      </c>
      <c r="B1" s="19"/>
      <c r="C1" s="19"/>
      <c r="D1" s="19"/>
      <c r="E1" s="19"/>
      <c r="F1" s="19"/>
      <c r="G1" s="19"/>
      <c r="H1" s="19"/>
      <c r="I1" s="19"/>
      <c r="J1" s="19"/>
      <c r="K1" s="19"/>
      <c r="L1" s="19"/>
      <c r="M1" s="19"/>
      <c r="N1" s="19"/>
      <c r="O1" s="19"/>
      <c r="P1" s="19"/>
      <c r="Q1" s="19"/>
      <c r="R1" s="19"/>
      <c r="S1" s="19"/>
      <c r="T1" s="19"/>
      <c r="U1" s="19"/>
      <c r="V1" s="19"/>
      <c r="W1" s="19"/>
    </row>
    <row r="2" customFormat="false" ht="15" hidden="false" customHeight="true" outlineLevel="0" collapsed="false">
      <c r="A2" s="8" t="s">
        <v>67</v>
      </c>
      <c r="B2" s="8" t="s">
        <v>68</v>
      </c>
      <c r="C2" s="8" t="n">
        <v>1</v>
      </c>
      <c r="D2" s="8" t="n">
        <v>2</v>
      </c>
      <c r="E2" s="8" t="n">
        <v>3</v>
      </c>
      <c r="F2" s="8" t="n">
        <v>4</v>
      </c>
      <c r="G2" s="8" t="n">
        <v>5</v>
      </c>
      <c r="H2" s="8" t="n">
        <v>6</v>
      </c>
      <c r="I2" s="8" t="n">
        <v>7</v>
      </c>
      <c r="J2" s="8" t="n">
        <v>8</v>
      </c>
      <c r="K2" s="8" t="n">
        <v>9</v>
      </c>
      <c r="L2" s="8" t="s">
        <v>69</v>
      </c>
      <c r="M2" s="8" t="n">
        <v>10</v>
      </c>
      <c r="N2" s="8" t="n">
        <v>11</v>
      </c>
      <c r="O2" s="8" t="n">
        <v>12</v>
      </c>
      <c r="P2" s="8" t="n">
        <v>13</v>
      </c>
      <c r="Q2" s="8" t="n">
        <v>14</v>
      </c>
      <c r="R2" s="8" t="n">
        <v>15</v>
      </c>
      <c r="S2" s="8" t="n">
        <v>16</v>
      </c>
      <c r="T2" s="8" t="n">
        <v>17</v>
      </c>
      <c r="U2" s="8" t="n">
        <v>18</v>
      </c>
      <c r="V2" s="8" t="s">
        <v>70</v>
      </c>
      <c r="W2" s="8" t="s">
        <v>71</v>
      </c>
    </row>
    <row r="3" customFormat="false" ht="15" hidden="false" customHeight="true" outlineLevel="0" collapsed="false">
      <c r="A3" s="20" t="s">
        <v>72</v>
      </c>
      <c r="B3" s="5"/>
      <c r="C3" s="21"/>
      <c r="D3" s="21"/>
      <c r="E3" s="21"/>
      <c r="F3" s="21"/>
      <c r="G3" s="21"/>
      <c r="H3" s="21"/>
      <c r="I3" s="21"/>
      <c r="J3" s="21"/>
      <c r="K3" s="21"/>
      <c r="L3" s="22" t="n">
        <f aca="false">SUM(C3:K3)</f>
        <v>0</v>
      </c>
      <c r="M3" s="21"/>
      <c r="N3" s="21"/>
      <c r="O3" s="21"/>
      <c r="P3" s="21"/>
      <c r="Q3" s="21"/>
      <c r="R3" s="21"/>
      <c r="S3" s="21"/>
      <c r="T3" s="21"/>
      <c r="U3" s="21"/>
      <c r="V3" s="22" t="n">
        <f aca="false">SUM(M3:U3)</f>
        <v>0</v>
      </c>
      <c r="W3" s="22" t="n">
        <f aca="false">L3+V3</f>
        <v>0</v>
      </c>
    </row>
    <row r="4" customFormat="false" ht="15" hidden="false" customHeight="true" outlineLevel="0" collapsed="false">
      <c r="A4" s="20" t="s">
        <v>73</v>
      </c>
      <c r="B4" s="5"/>
      <c r="C4" s="21"/>
      <c r="D4" s="21"/>
      <c r="E4" s="21"/>
      <c r="F4" s="21"/>
      <c r="G4" s="21"/>
      <c r="H4" s="21"/>
      <c r="I4" s="21"/>
      <c r="J4" s="21"/>
      <c r="K4" s="21"/>
      <c r="L4" s="5"/>
      <c r="M4" s="21"/>
      <c r="N4" s="21"/>
      <c r="O4" s="21"/>
      <c r="P4" s="21"/>
      <c r="Q4" s="21"/>
      <c r="R4" s="21"/>
      <c r="S4" s="21"/>
      <c r="T4" s="21"/>
      <c r="U4" s="21"/>
      <c r="V4" s="5"/>
      <c r="W4" s="5"/>
    </row>
    <row r="5" customFormat="false" ht="15" hidden="false" customHeight="true" outlineLevel="0" collapsed="false">
      <c r="A5" s="23" t="s">
        <v>74</v>
      </c>
      <c r="B5" s="24" t="n">
        <f aca="false">'Course Handicaps'!F4</f>
        <v>19</v>
      </c>
      <c r="C5" s="21"/>
      <c r="D5" s="21"/>
      <c r="E5" s="21"/>
      <c r="F5" s="21"/>
      <c r="G5" s="21"/>
      <c r="H5" s="21"/>
      <c r="I5" s="21"/>
      <c r="J5" s="21"/>
      <c r="K5" s="21"/>
      <c r="L5" s="22" t="str">
        <f aca="false">IF(COUNT(C5:K5)=0,"",SUM(C5:K5))</f>
        <v/>
      </c>
      <c r="M5" s="21"/>
      <c r="N5" s="21"/>
      <c r="O5" s="21"/>
      <c r="P5" s="21"/>
      <c r="Q5" s="21"/>
      <c r="R5" s="21"/>
      <c r="S5" s="21"/>
      <c r="T5" s="21"/>
      <c r="U5" s="21"/>
      <c r="V5" s="22" t="str">
        <f aca="false">IF(COUNT(M5:U5)=0,"",SUM(M5:U5))</f>
        <v/>
      </c>
      <c r="W5" s="22" t="str">
        <f aca="false">IF(AND(L5="",V5=""),"",SUM(L5,V5))</f>
        <v/>
      </c>
    </row>
    <row r="6" customFormat="false" ht="15" hidden="false" customHeight="true" outlineLevel="0" collapsed="false">
      <c r="A6" s="23" t="s">
        <v>75</v>
      </c>
      <c r="B6" s="5"/>
      <c r="C6" s="22" t="n">
        <f aca="false">IF($B5="","",FLOOR($B5/18,1)+IF(MOD($B5,18)&gt;=C$4,1,0))</f>
        <v>2</v>
      </c>
      <c r="D6" s="22" t="n">
        <f aca="false">IF($B5="","",FLOOR($B5/18,1)+IF(MOD($B5,18)&gt;=D$4,1,0))</f>
        <v>2</v>
      </c>
      <c r="E6" s="22" t="n">
        <f aca="false">IF($B5="","",FLOOR($B5/18,1)+IF(MOD($B5,18)&gt;=E$4,1,0))</f>
        <v>2</v>
      </c>
      <c r="F6" s="22" t="n">
        <f aca="false">IF($B5="","",FLOOR($B5/18,1)+IF(MOD($B5,18)&gt;=F$4,1,0))</f>
        <v>2</v>
      </c>
      <c r="G6" s="22" t="n">
        <f aca="false">IF($B5="","",FLOOR($B5/18,1)+IF(MOD($B5,18)&gt;=G$4,1,0))</f>
        <v>2</v>
      </c>
      <c r="H6" s="22" t="n">
        <f aca="false">IF($B5="","",FLOOR($B5/18,1)+IF(MOD($B5,18)&gt;=H$4,1,0))</f>
        <v>2</v>
      </c>
      <c r="I6" s="22" t="n">
        <f aca="false">IF($B5="","",FLOOR($B5/18,1)+IF(MOD($B5,18)&gt;=I$4,1,0))</f>
        <v>2</v>
      </c>
      <c r="J6" s="22" t="n">
        <f aca="false">IF($B5="","",FLOOR($B5/18,1)+IF(MOD($B5,18)&gt;=J$4,1,0))</f>
        <v>2</v>
      </c>
      <c r="K6" s="22" t="n">
        <f aca="false">IF($B5="","",FLOOR($B5/18,1)+IF(MOD($B5,18)&gt;=K$4,1,0))</f>
        <v>2</v>
      </c>
      <c r="L6" s="22" t="n">
        <f aca="false">IF(COUNT(C6:K6)=0,"",SUM(C6:K6))</f>
        <v>18</v>
      </c>
      <c r="M6" s="22" t="n">
        <f aca="false">IF($B5="","",FLOOR($B5/18,1)+IF(MOD($B5,18)&gt;=M$4,1,0))</f>
        <v>2</v>
      </c>
      <c r="N6" s="22" t="n">
        <f aca="false">IF($B5="","",FLOOR($B5/18,1)+IF(MOD($B5,18)&gt;=N$4,1,0))</f>
        <v>2</v>
      </c>
      <c r="O6" s="22" t="n">
        <f aca="false">IF($B5="","",FLOOR($B5/18,1)+IF(MOD($B5,18)&gt;=O$4,1,0))</f>
        <v>2</v>
      </c>
      <c r="P6" s="22" t="n">
        <f aca="false">IF($B5="","",FLOOR($B5/18,1)+IF(MOD($B5,18)&gt;=P$4,1,0))</f>
        <v>2</v>
      </c>
      <c r="Q6" s="22" t="n">
        <f aca="false">IF($B5="","",FLOOR($B5/18,1)+IF(MOD($B5,18)&gt;=Q$4,1,0))</f>
        <v>2</v>
      </c>
      <c r="R6" s="22" t="n">
        <f aca="false">IF($B5="","",FLOOR($B5/18,1)+IF(MOD($B5,18)&gt;=R$4,1,0))</f>
        <v>2</v>
      </c>
      <c r="S6" s="22" t="n">
        <f aca="false">IF($B5="","",FLOOR($B5/18,1)+IF(MOD($B5,18)&gt;=S$4,1,0))</f>
        <v>2</v>
      </c>
      <c r="T6" s="22" t="n">
        <f aca="false">IF($B5="","",FLOOR($B5/18,1)+IF(MOD($B5,18)&gt;=T$4,1,0))</f>
        <v>2</v>
      </c>
      <c r="U6" s="22" t="n">
        <f aca="false">IF($B5="","",FLOOR($B5/18,1)+IF(MOD($B5,18)&gt;=U$4,1,0))</f>
        <v>2</v>
      </c>
      <c r="V6" s="22" t="n">
        <f aca="false">IF(COUNT(M6:U6)=0,"",SUM(M6:U6))</f>
        <v>18</v>
      </c>
      <c r="W6" s="22" t="n">
        <f aca="false">IF(AND(L6="",V6=""),"",SUM(L6,V6))</f>
        <v>36</v>
      </c>
    </row>
    <row r="7" customFormat="false" ht="15" hidden="false" customHeight="true" outlineLevel="0" collapsed="false">
      <c r="A7" s="23" t="s">
        <v>76</v>
      </c>
      <c r="B7" s="5"/>
      <c r="C7" s="22" t="str">
        <f aca="false">IF(C5="","",MAX(0,2-((C5-C6)-C$3)))</f>
        <v/>
      </c>
      <c r="D7" s="22" t="str">
        <f aca="false">IF(D5="","",MAX(0,2-((D5-D6)-D$3)))</f>
        <v/>
      </c>
      <c r="E7" s="22" t="str">
        <f aca="false">IF(E5="","",MAX(0,2-((E5-E6)-E$3)))</f>
        <v/>
      </c>
      <c r="F7" s="22" t="str">
        <f aca="false">IF(F5="","",MAX(0,2-((F5-F6)-F$3)))</f>
        <v/>
      </c>
      <c r="G7" s="22" t="str">
        <f aca="false">IF(G5="","",MAX(0,2-((G5-G6)-G$3)))</f>
        <v/>
      </c>
      <c r="H7" s="22" t="str">
        <f aca="false">IF(H5="","",MAX(0,2-((H5-H6)-H$3)))</f>
        <v/>
      </c>
      <c r="I7" s="22" t="str">
        <f aca="false">IF(I5="","",MAX(0,2-((I5-I6)-I$3)))</f>
        <v/>
      </c>
      <c r="J7" s="22" t="str">
        <f aca="false">IF(J5="","",MAX(0,2-((J5-J6)-J$3)))</f>
        <v/>
      </c>
      <c r="K7" s="22" t="str">
        <f aca="false">IF(K5="","",MAX(0,2-((K5-K6)-K$3)))</f>
        <v/>
      </c>
      <c r="L7" s="22" t="n">
        <f aca="false">SUM(C7:K7)</f>
        <v>0</v>
      </c>
      <c r="M7" s="22" t="str">
        <f aca="false">IF(M5="","",MAX(0,2-((M5-M6)-M$3)))</f>
        <v/>
      </c>
      <c r="N7" s="22" t="str">
        <f aca="false">IF(N5="","",MAX(0,2-((N5-N6)-N$3)))</f>
        <v/>
      </c>
      <c r="O7" s="22" t="str">
        <f aca="false">IF(O5="","",MAX(0,2-((O5-O6)-O$3)))</f>
        <v/>
      </c>
      <c r="P7" s="22" t="str">
        <f aca="false">IF(P5="","",MAX(0,2-((P5-P6)-P$3)))</f>
        <v/>
      </c>
      <c r="Q7" s="22" t="str">
        <f aca="false">IF(Q5="","",MAX(0,2-((Q5-Q6)-Q$3)))</f>
        <v/>
      </c>
      <c r="R7" s="22" t="str">
        <f aca="false">IF(R5="","",MAX(0,2-((R5-R6)-R$3)))</f>
        <v/>
      </c>
      <c r="S7" s="22" t="str">
        <f aca="false">IF(S5="","",MAX(0,2-((S5-S6)-S$3)))</f>
        <v/>
      </c>
      <c r="T7" s="22" t="str">
        <f aca="false">IF(T5="","",MAX(0,2-((T5-T6)-T$3)))</f>
        <v/>
      </c>
      <c r="U7" s="22" t="str">
        <f aca="false">IF(U5="","",MAX(0,2-((U5-U6)-U$3)))</f>
        <v/>
      </c>
      <c r="V7" s="22" t="n">
        <f aca="false">SUM(M7:U7)</f>
        <v>0</v>
      </c>
      <c r="W7" s="22" t="n">
        <f aca="false">L7+V7</f>
        <v>0</v>
      </c>
    </row>
    <row r="8" customFormat="false" ht="15" hidden="false" customHeight="true" outlineLevel="0" collapsed="false">
      <c r="A8" s="23" t="s">
        <v>77</v>
      </c>
      <c r="B8" s="24" t="n">
        <f aca="false">'Course Handicaps'!F5</f>
        <v>18</v>
      </c>
      <c r="C8" s="21"/>
      <c r="D8" s="21"/>
      <c r="E8" s="21"/>
      <c r="F8" s="21"/>
      <c r="G8" s="21"/>
      <c r="H8" s="21"/>
      <c r="I8" s="21"/>
      <c r="J8" s="21"/>
      <c r="K8" s="21"/>
      <c r="L8" s="22" t="str">
        <f aca="false">IF(COUNT(C8:K8)=0,"",SUM(C8:K8))</f>
        <v/>
      </c>
      <c r="M8" s="21"/>
      <c r="N8" s="21"/>
      <c r="O8" s="21"/>
      <c r="P8" s="21"/>
      <c r="Q8" s="21"/>
      <c r="R8" s="21"/>
      <c r="S8" s="21"/>
      <c r="T8" s="21"/>
      <c r="U8" s="21"/>
      <c r="V8" s="22" t="str">
        <f aca="false">IF(COUNT(M8:U8)=0,"",SUM(M8:U8))</f>
        <v/>
      </c>
      <c r="W8" s="22" t="str">
        <f aca="false">IF(AND(L8="",V8=""),"",SUM(L8,V8))</f>
        <v/>
      </c>
    </row>
    <row r="9" customFormat="false" ht="15" hidden="false" customHeight="true" outlineLevel="0" collapsed="false">
      <c r="A9" s="23" t="s">
        <v>78</v>
      </c>
      <c r="B9" s="5"/>
      <c r="C9" s="22" t="n">
        <f aca="false">IF($B8="","",FLOOR($B8/18,1)+IF(MOD($B8,18)&gt;=C$4,1,0))</f>
        <v>2</v>
      </c>
      <c r="D9" s="22" t="n">
        <f aca="false">IF($B8="","",FLOOR($B8/18,1)+IF(MOD($B8,18)&gt;=D$4,1,0))</f>
        <v>2</v>
      </c>
      <c r="E9" s="22" t="n">
        <f aca="false">IF($B8="","",FLOOR($B8/18,1)+IF(MOD($B8,18)&gt;=E$4,1,0))</f>
        <v>2</v>
      </c>
      <c r="F9" s="22" t="n">
        <f aca="false">IF($B8="","",FLOOR($B8/18,1)+IF(MOD($B8,18)&gt;=F$4,1,0))</f>
        <v>2</v>
      </c>
      <c r="G9" s="22" t="n">
        <f aca="false">IF($B8="","",FLOOR($B8/18,1)+IF(MOD($B8,18)&gt;=G$4,1,0))</f>
        <v>2</v>
      </c>
      <c r="H9" s="22" t="n">
        <f aca="false">IF($B8="","",FLOOR($B8/18,1)+IF(MOD($B8,18)&gt;=H$4,1,0))</f>
        <v>2</v>
      </c>
      <c r="I9" s="22" t="n">
        <f aca="false">IF($B8="","",FLOOR($B8/18,1)+IF(MOD($B8,18)&gt;=I$4,1,0))</f>
        <v>2</v>
      </c>
      <c r="J9" s="22" t="n">
        <f aca="false">IF($B8="","",FLOOR($B8/18,1)+IF(MOD($B8,18)&gt;=J$4,1,0))</f>
        <v>2</v>
      </c>
      <c r="K9" s="22" t="n">
        <f aca="false">IF($B8="","",FLOOR($B8/18,1)+IF(MOD($B8,18)&gt;=K$4,1,0))</f>
        <v>2</v>
      </c>
      <c r="L9" s="22" t="n">
        <f aca="false">IF(COUNT(C9:K9)=0,"",SUM(C9:K9))</f>
        <v>18</v>
      </c>
      <c r="M9" s="22" t="n">
        <f aca="false">IF($B8="","",FLOOR($B8/18,1)+IF(MOD($B8,18)&gt;=M$4,1,0))</f>
        <v>2</v>
      </c>
      <c r="N9" s="22" t="n">
        <f aca="false">IF($B8="","",FLOOR($B8/18,1)+IF(MOD($B8,18)&gt;=N$4,1,0))</f>
        <v>2</v>
      </c>
      <c r="O9" s="22" t="n">
        <f aca="false">IF($B8="","",FLOOR($B8/18,1)+IF(MOD($B8,18)&gt;=O$4,1,0))</f>
        <v>2</v>
      </c>
      <c r="P9" s="22" t="n">
        <f aca="false">IF($B8="","",FLOOR($B8/18,1)+IF(MOD($B8,18)&gt;=P$4,1,0))</f>
        <v>2</v>
      </c>
      <c r="Q9" s="22" t="n">
        <f aca="false">IF($B8="","",FLOOR($B8/18,1)+IF(MOD($B8,18)&gt;=Q$4,1,0))</f>
        <v>2</v>
      </c>
      <c r="R9" s="22" t="n">
        <f aca="false">IF($B8="","",FLOOR($B8/18,1)+IF(MOD($B8,18)&gt;=R$4,1,0))</f>
        <v>2</v>
      </c>
      <c r="S9" s="22" t="n">
        <f aca="false">IF($B8="","",FLOOR($B8/18,1)+IF(MOD($B8,18)&gt;=S$4,1,0))</f>
        <v>2</v>
      </c>
      <c r="T9" s="22" t="n">
        <f aca="false">IF($B8="","",FLOOR($B8/18,1)+IF(MOD($B8,18)&gt;=T$4,1,0))</f>
        <v>2</v>
      </c>
      <c r="U9" s="22" t="n">
        <f aca="false">IF($B8="","",FLOOR($B8/18,1)+IF(MOD($B8,18)&gt;=U$4,1,0))</f>
        <v>2</v>
      </c>
      <c r="V9" s="22" t="n">
        <f aca="false">IF(COUNT(M9:U9)=0,"",SUM(M9:U9))</f>
        <v>18</v>
      </c>
      <c r="W9" s="22" t="n">
        <f aca="false">IF(AND(L9="",V9=""),"",SUM(L9,V9))</f>
        <v>36</v>
      </c>
    </row>
    <row r="10" customFormat="false" ht="15" hidden="false" customHeight="true" outlineLevel="0" collapsed="false">
      <c r="A10" s="23" t="s">
        <v>79</v>
      </c>
      <c r="B10" s="5"/>
      <c r="C10" s="22" t="str">
        <f aca="false">IF(C8="","",MAX(0,2-((C8-C9)-C$3)))</f>
        <v/>
      </c>
      <c r="D10" s="22" t="str">
        <f aca="false">IF(D8="","",MAX(0,2-((D8-D9)-D$3)))</f>
        <v/>
      </c>
      <c r="E10" s="22" t="str">
        <f aca="false">IF(E8="","",MAX(0,2-((E8-E9)-E$3)))</f>
        <v/>
      </c>
      <c r="F10" s="22" t="str">
        <f aca="false">IF(F8="","",MAX(0,2-((F8-F9)-F$3)))</f>
        <v/>
      </c>
      <c r="G10" s="22" t="str">
        <f aca="false">IF(G8="","",MAX(0,2-((G8-G9)-G$3)))</f>
        <v/>
      </c>
      <c r="H10" s="22" t="str">
        <f aca="false">IF(H8="","",MAX(0,2-((H8-H9)-H$3)))</f>
        <v/>
      </c>
      <c r="I10" s="22" t="str">
        <f aca="false">IF(I8="","",MAX(0,2-((I8-I9)-I$3)))</f>
        <v/>
      </c>
      <c r="J10" s="22" t="str">
        <f aca="false">IF(J8="","",MAX(0,2-((J8-J9)-J$3)))</f>
        <v/>
      </c>
      <c r="K10" s="22" t="str">
        <f aca="false">IF(K8="","",MAX(0,2-((K8-K9)-K$3)))</f>
        <v/>
      </c>
      <c r="L10" s="22" t="n">
        <f aca="false">SUM(C10:K10)</f>
        <v>0</v>
      </c>
      <c r="M10" s="22" t="str">
        <f aca="false">IF(M8="","",MAX(0,2-((M8-M9)-M$3)))</f>
        <v/>
      </c>
      <c r="N10" s="22" t="str">
        <f aca="false">IF(N8="","",MAX(0,2-((N8-N9)-N$3)))</f>
        <v/>
      </c>
      <c r="O10" s="22" t="str">
        <f aca="false">IF(O8="","",MAX(0,2-((O8-O9)-O$3)))</f>
        <v/>
      </c>
      <c r="P10" s="22" t="str">
        <f aca="false">IF(P8="","",MAX(0,2-((P8-P9)-P$3)))</f>
        <v/>
      </c>
      <c r="Q10" s="22" t="str">
        <f aca="false">IF(Q8="","",MAX(0,2-((Q8-Q9)-Q$3)))</f>
        <v/>
      </c>
      <c r="R10" s="22" t="str">
        <f aca="false">IF(R8="","",MAX(0,2-((R8-R9)-R$3)))</f>
        <v/>
      </c>
      <c r="S10" s="22" t="str">
        <f aca="false">IF(S8="","",MAX(0,2-((S8-S9)-S$3)))</f>
        <v/>
      </c>
      <c r="T10" s="22" t="str">
        <f aca="false">IF(T8="","",MAX(0,2-((T8-T9)-T$3)))</f>
        <v/>
      </c>
      <c r="U10" s="22" t="str">
        <f aca="false">IF(U8="","",MAX(0,2-((U8-U9)-U$3)))</f>
        <v/>
      </c>
      <c r="V10" s="22" t="n">
        <f aca="false">SUM(M10:U10)</f>
        <v>0</v>
      </c>
      <c r="W10" s="22" t="n">
        <f aca="false">L10+V10</f>
        <v>0</v>
      </c>
    </row>
    <row r="11" customFormat="false" ht="15" hidden="false" customHeight="true" outlineLevel="0" collapsed="false">
      <c r="A11" s="23" t="s">
        <v>80</v>
      </c>
      <c r="B11" s="24" t="n">
        <f aca="false">'Course Handicaps'!F6</f>
        <v>13</v>
      </c>
      <c r="C11" s="21"/>
      <c r="D11" s="21"/>
      <c r="E11" s="21"/>
      <c r="F11" s="21"/>
      <c r="G11" s="21"/>
      <c r="H11" s="21"/>
      <c r="I11" s="21"/>
      <c r="J11" s="21"/>
      <c r="K11" s="21"/>
      <c r="L11" s="22" t="str">
        <f aca="false">IF(COUNT(C11:K11)=0,"",SUM(C11:K11))</f>
        <v/>
      </c>
      <c r="M11" s="21"/>
      <c r="N11" s="21"/>
      <c r="O11" s="21"/>
      <c r="P11" s="21"/>
      <c r="Q11" s="21"/>
      <c r="R11" s="21"/>
      <c r="S11" s="21"/>
      <c r="T11" s="21"/>
      <c r="U11" s="21"/>
      <c r="V11" s="22" t="str">
        <f aca="false">IF(COUNT(M11:U11)=0,"",SUM(M11:U11))</f>
        <v/>
      </c>
      <c r="W11" s="22" t="str">
        <f aca="false">IF(AND(L11="",V11=""),"",SUM(L11,V11))</f>
        <v/>
      </c>
    </row>
    <row r="12" customFormat="false" ht="15" hidden="false" customHeight="true" outlineLevel="0" collapsed="false">
      <c r="A12" s="23" t="s">
        <v>81</v>
      </c>
      <c r="B12" s="5"/>
      <c r="C12" s="22" t="n">
        <f aca="false">IF($B11="","",FLOOR($B11/18,1)+IF(MOD($B11,18)&gt;=C$4,1,0))</f>
        <v>1</v>
      </c>
      <c r="D12" s="22" t="n">
        <f aca="false">IF($B11="","",FLOOR($B11/18,1)+IF(MOD($B11,18)&gt;=D$4,1,0))</f>
        <v>1</v>
      </c>
      <c r="E12" s="22" t="n">
        <f aca="false">IF($B11="","",FLOOR($B11/18,1)+IF(MOD($B11,18)&gt;=E$4,1,0))</f>
        <v>1</v>
      </c>
      <c r="F12" s="22" t="n">
        <f aca="false">IF($B11="","",FLOOR($B11/18,1)+IF(MOD($B11,18)&gt;=F$4,1,0))</f>
        <v>1</v>
      </c>
      <c r="G12" s="22" t="n">
        <f aca="false">IF($B11="","",FLOOR($B11/18,1)+IF(MOD($B11,18)&gt;=G$4,1,0))</f>
        <v>1</v>
      </c>
      <c r="H12" s="22" t="n">
        <f aca="false">IF($B11="","",FLOOR($B11/18,1)+IF(MOD($B11,18)&gt;=H$4,1,0))</f>
        <v>1</v>
      </c>
      <c r="I12" s="22" t="n">
        <f aca="false">IF($B11="","",FLOOR($B11/18,1)+IF(MOD($B11,18)&gt;=I$4,1,0))</f>
        <v>1</v>
      </c>
      <c r="J12" s="22" t="n">
        <f aca="false">IF($B11="","",FLOOR($B11/18,1)+IF(MOD($B11,18)&gt;=J$4,1,0))</f>
        <v>1</v>
      </c>
      <c r="K12" s="22" t="n">
        <f aca="false">IF($B11="","",FLOOR($B11/18,1)+IF(MOD($B11,18)&gt;=K$4,1,0))</f>
        <v>1</v>
      </c>
      <c r="L12" s="22" t="n">
        <f aca="false">IF(COUNT(C12:K12)=0,"",SUM(C12:K12))</f>
        <v>9</v>
      </c>
      <c r="M12" s="22" t="n">
        <f aca="false">IF($B11="","",FLOOR($B11/18,1)+IF(MOD($B11,18)&gt;=M$4,1,0))</f>
        <v>1</v>
      </c>
      <c r="N12" s="22" t="n">
        <f aca="false">IF($B11="","",FLOOR($B11/18,1)+IF(MOD($B11,18)&gt;=N$4,1,0))</f>
        <v>1</v>
      </c>
      <c r="O12" s="22" t="n">
        <f aca="false">IF($B11="","",FLOOR($B11/18,1)+IF(MOD($B11,18)&gt;=O$4,1,0))</f>
        <v>1</v>
      </c>
      <c r="P12" s="22" t="n">
        <f aca="false">IF($B11="","",FLOOR($B11/18,1)+IF(MOD($B11,18)&gt;=P$4,1,0))</f>
        <v>1</v>
      </c>
      <c r="Q12" s="22" t="n">
        <f aca="false">IF($B11="","",FLOOR($B11/18,1)+IF(MOD($B11,18)&gt;=Q$4,1,0))</f>
        <v>1</v>
      </c>
      <c r="R12" s="22" t="n">
        <f aca="false">IF($B11="","",FLOOR($B11/18,1)+IF(MOD($B11,18)&gt;=R$4,1,0))</f>
        <v>1</v>
      </c>
      <c r="S12" s="22" t="n">
        <f aca="false">IF($B11="","",FLOOR($B11/18,1)+IF(MOD($B11,18)&gt;=S$4,1,0))</f>
        <v>1</v>
      </c>
      <c r="T12" s="22" t="n">
        <f aca="false">IF($B11="","",FLOOR($B11/18,1)+IF(MOD($B11,18)&gt;=T$4,1,0))</f>
        <v>1</v>
      </c>
      <c r="U12" s="22" t="n">
        <f aca="false">IF($B11="","",FLOOR($B11/18,1)+IF(MOD($B11,18)&gt;=U$4,1,0))</f>
        <v>1</v>
      </c>
      <c r="V12" s="22" t="n">
        <f aca="false">IF(COUNT(M12:U12)=0,"",SUM(M12:U12))</f>
        <v>9</v>
      </c>
      <c r="W12" s="22" t="n">
        <f aca="false">IF(AND(L12="",V12=""),"",SUM(L12,V12))</f>
        <v>18</v>
      </c>
    </row>
    <row r="13" customFormat="false" ht="15" hidden="false" customHeight="true" outlineLevel="0" collapsed="false">
      <c r="A13" s="23" t="s">
        <v>82</v>
      </c>
      <c r="B13" s="5"/>
      <c r="C13" s="22" t="str">
        <f aca="false">IF(C11="","",MAX(0,2-((C11-C12)-C$3)))</f>
        <v/>
      </c>
      <c r="D13" s="22" t="str">
        <f aca="false">IF(D11="","",MAX(0,2-((D11-D12)-D$3)))</f>
        <v/>
      </c>
      <c r="E13" s="22" t="str">
        <f aca="false">IF(E11="","",MAX(0,2-((E11-E12)-E$3)))</f>
        <v/>
      </c>
      <c r="F13" s="22" t="str">
        <f aca="false">IF(F11="","",MAX(0,2-((F11-F12)-F$3)))</f>
        <v/>
      </c>
      <c r="G13" s="22" t="str">
        <f aca="false">IF(G11="","",MAX(0,2-((G11-G12)-G$3)))</f>
        <v/>
      </c>
      <c r="H13" s="22" t="str">
        <f aca="false">IF(H11="","",MAX(0,2-((H11-H12)-H$3)))</f>
        <v/>
      </c>
      <c r="I13" s="22" t="str">
        <f aca="false">IF(I11="","",MAX(0,2-((I11-I12)-I$3)))</f>
        <v/>
      </c>
      <c r="J13" s="22" t="str">
        <f aca="false">IF(J11="","",MAX(0,2-((J11-J12)-J$3)))</f>
        <v/>
      </c>
      <c r="K13" s="22" t="str">
        <f aca="false">IF(K11="","",MAX(0,2-((K11-K12)-K$3)))</f>
        <v/>
      </c>
      <c r="L13" s="22" t="n">
        <f aca="false">SUM(C13:K13)</f>
        <v>0</v>
      </c>
      <c r="M13" s="22" t="str">
        <f aca="false">IF(M11="","",MAX(0,2-((M11-M12)-M$3)))</f>
        <v/>
      </c>
      <c r="N13" s="22" t="str">
        <f aca="false">IF(N11="","",MAX(0,2-((N11-N12)-N$3)))</f>
        <v/>
      </c>
      <c r="O13" s="22" t="str">
        <f aca="false">IF(O11="","",MAX(0,2-((O11-O12)-O$3)))</f>
        <v/>
      </c>
      <c r="P13" s="22" t="str">
        <f aca="false">IF(P11="","",MAX(0,2-((P11-P12)-P$3)))</f>
        <v/>
      </c>
      <c r="Q13" s="22" t="str">
        <f aca="false">IF(Q11="","",MAX(0,2-((Q11-Q12)-Q$3)))</f>
        <v/>
      </c>
      <c r="R13" s="22" t="str">
        <f aca="false">IF(R11="","",MAX(0,2-((R11-R12)-R$3)))</f>
        <v/>
      </c>
      <c r="S13" s="22" t="str">
        <f aca="false">IF(S11="","",MAX(0,2-((S11-S12)-S$3)))</f>
        <v/>
      </c>
      <c r="T13" s="22" t="str">
        <f aca="false">IF(T11="","",MAX(0,2-((T11-T12)-T$3)))</f>
        <v/>
      </c>
      <c r="U13" s="22" t="str">
        <f aca="false">IF(U11="","",MAX(0,2-((U11-U12)-U$3)))</f>
        <v/>
      </c>
      <c r="V13" s="22" t="n">
        <f aca="false">SUM(M13:U13)</f>
        <v>0</v>
      </c>
      <c r="W13" s="22" t="n">
        <f aca="false">L13+V13</f>
        <v>0</v>
      </c>
    </row>
    <row r="14" customFormat="false" ht="15" hidden="false" customHeight="true" outlineLevel="0" collapsed="false">
      <c r="A14" s="23" t="s">
        <v>83</v>
      </c>
      <c r="B14" s="24" t="n">
        <f aca="false">'Course Handicaps'!F7</f>
        <v>25</v>
      </c>
      <c r="C14" s="21"/>
      <c r="D14" s="21"/>
      <c r="E14" s="21"/>
      <c r="F14" s="21"/>
      <c r="G14" s="21"/>
      <c r="H14" s="21"/>
      <c r="I14" s="21"/>
      <c r="J14" s="21"/>
      <c r="K14" s="21"/>
      <c r="L14" s="22" t="str">
        <f aca="false">IF(COUNT(C14:K14)=0,"",SUM(C14:K14))</f>
        <v/>
      </c>
      <c r="M14" s="21"/>
      <c r="N14" s="21"/>
      <c r="O14" s="21"/>
      <c r="P14" s="21"/>
      <c r="Q14" s="21"/>
      <c r="R14" s="21"/>
      <c r="S14" s="21"/>
      <c r="T14" s="21"/>
      <c r="U14" s="21"/>
      <c r="V14" s="22" t="str">
        <f aca="false">IF(COUNT(M14:U14)=0,"",SUM(M14:U14))</f>
        <v/>
      </c>
      <c r="W14" s="22" t="str">
        <f aca="false">IF(AND(L14="",V14=""),"",SUM(L14,V14))</f>
        <v/>
      </c>
    </row>
    <row r="15" customFormat="false" ht="15" hidden="false" customHeight="true" outlineLevel="0" collapsed="false">
      <c r="A15" s="23" t="s">
        <v>84</v>
      </c>
      <c r="B15" s="5"/>
      <c r="C15" s="22" t="n">
        <f aca="false">IF($B14="","",FLOOR($B14/18,1)+IF(MOD($B14,18)&gt;=C$4,1,0))</f>
        <v>2</v>
      </c>
      <c r="D15" s="22" t="n">
        <f aca="false">IF($B14="","",FLOOR($B14/18,1)+IF(MOD($B14,18)&gt;=D$4,1,0))</f>
        <v>2</v>
      </c>
      <c r="E15" s="22" t="n">
        <f aca="false">IF($B14="","",FLOOR($B14/18,1)+IF(MOD($B14,18)&gt;=E$4,1,0))</f>
        <v>2</v>
      </c>
      <c r="F15" s="22" t="n">
        <f aca="false">IF($B14="","",FLOOR($B14/18,1)+IF(MOD($B14,18)&gt;=F$4,1,0))</f>
        <v>2</v>
      </c>
      <c r="G15" s="22" t="n">
        <f aca="false">IF($B14="","",FLOOR($B14/18,1)+IF(MOD($B14,18)&gt;=G$4,1,0))</f>
        <v>2</v>
      </c>
      <c r="H15" s="22" t="n">
        <f aca="false">IF($B14="","",FLOOR($B14/18,1)+IF(MOD($B14,18)&gt;=H$4,1,0))</f>
        <v>2</v>
      </c>
      <c r="I15" s="22" t="n">
        <f aca="false">IF($B14="","",FLOOR($B14/18,1)+IF(MOD($B14,18)&gt;=I$4,1,0))</f>
        <v>2</v>
      </c>
      <c r="J15" s="22" t="n">
        <f aca="false">IF($B14="","",FLOOR($B14/18,1)+IF(MOD($B14,18)&gt;=J$4,1,0))</f>
        <v>2</v>
      </c>
      <c r="K15" s="22" t="n">
        <f aca="false">IF($B14="","",FLOOR($B14/18,1)+IF(MOD($B14,18)&gt;=K$4,1,0))</f>
        <v>2</v>
      </c>
      <c r="L15" s="22" t="n">
        <f aca="false">IF(COUNT(C15:K15)=0,"",SUM(C15:K15))</f>
        <v>18</v>
      </c>
      <c r="M15" s="22" t="n">
        <f aca="false">IF($B14="","",FLOOR($B14/18,1)+IF(MOD($B14,18)&gt;=M$4,1,0))</f>
        <v>2</v>
      </c>
      <c r="N15" s="22" t="n">
        <f aca="false">IF($B14="","",FLOOR($B14/18,1)+IF(MOD($B14,18)&gt;=N$4,1,0))</f>
        <v>2</v>
      </c>
      <c r="O15" s="22" t="n">
        <f aca="false">IF($B14="","",FLOOR($B14/18,1)+IF(MOD($B14,18)&gt;=O$4,1,0))</f>
        <v>2</v>
      </c>
      <c r="P15" s="22" t="n">
        <f aca="false">IF($B14="","",FLOOR($B14/18,1)+IF(MOD($B14,18)&gt;=P$4,1,0))</f>
        <v>2</v>
      </c>
      <c r="Q15" s="22" t="n">
        <f aca="false">IF($B14="","",FLOOR($B14/18,1)+IF(MOD($B14,18)&gt;=Q$4,1,0))</f>
        <v>2</v>
      </c>
      <c r="R15" s="22" t="n">
        <f aca="false">IF($B14="","",FLOOR($B14/18,1)+IF(MOD($B14,18)&gt;=R$4,1,0))</f>
        <v>2</v>
      </c>
      <c r="S15" s="22" t="n">
        <f aca="false">IF($B14="","",FLOOR($B14/18,1)+IF(MOD($B14,18)&gt;=S$4,1,0))</f>
        <v>2</v>
      </c>
      <c r="T15" s="22" t="n">
        <f aca="false">IF($B14="","",FLOOR($B14/18,1)+IF(MOD($B14,18)&gt;=T$4,1,0))</f>
        <v>2</v>
      </c>
      <c r="U15" s="22" t="n">
        <f aca="false">IF($B14="","",FLOOR($B14/18,1)+IF(MOD($B14,18)&gt;=U$4,1,0))</f>
        <v>2</v>
      </c>
      <c r="V15" s="22" t="n">
        <f aca="false">IF(COUNT(M15:U15)=0,"",SUM(M15:U15))</f>
        <v>18</v>
      </c>
      <c r="W15" s="22" t="n">
        <f aca="false">IF(AND(L15="",V15=""),"",SUM(L15,V15))</f>
        <v>36</v>
      </c>
    </row>
    <row r="16" customFormat="false" ht="15" hidden="false" customHeight="true" outlineLevel="0" collapsed="false">
      <c r="A16" s="23" t="s">
        <v>85</v>
      </c>
      <c r="B16" s="5"/>
      <c r="C16" s="22" t="str">
        <f aca="false">IF(C14="","",MAX(0,2-((C14-C15)-C$3)))</f>
        <v/>
      </c>
      <c r="D16" s="22" t="str">
        <f aca="false">IF(D14="","",MAX(0,2-((D14-D15)-D$3)))</f>
        <v/>
      </c>
      <c r="E16" s="22" t="str">
        <f aca="false">IF(E14="","",MAX(0,2-((E14-E15)-E$3)))</f>
        <v/>
      </c>
      <c r="F16" s="22" t="str">
        <f aca="false">IF(F14="","",MAX(0,2-((F14-F15)-F$3)))</f>
        <v/>
      </c>
      <c r="G16" s="22" t="str">
        <f aca="false">IF(G14="","",MAX(0,2-((G14-G15)-G$3)))</f>
        <v/>
      </c>
      <c r="H16" s="22" t="str">
        <f aca="false">IF(H14="","",MAX(0,2-((H14-H15)-H$3)))</f>
        <v/>
      </c>
      <c r="I16" s="22" t="str">
        <f aca="false">IF(I14="","",MAX(0,2-((I14-I15)-I$3)))</f>
        <v/>
      </c>
      <c r="J16" s="22" t="str">
        <f aca="false">IF(J14="","",MAX(0,2-((J14-J15)-J$3)))</f>
        <v/>
      </c>
      <c r="K16" s="22" t="str">
        <f aca="false">IF(K14="","",MAX(0,2-((K14-K15)-K$3)))</f>
        <v/>
      </c>
      <c r="L16" s="22" t="n">
        <f aca="false">SUM(C16:K16)</f>
        <v>0</v>
      </c>
      <c r="M16" s="22" t="str">
        <f aca="false">IF(M14="","",MAX(0,2-((M14-M15)-M$3)))</f>
        <v/>
      </c>
      <c r="N16" s="22" t="str">
        <f aca="false">IF(N14="","",MAX(0,2-((N14-N15)-N$3)))</f>
        <v/>
      </c>
      <c r="O16" s="22" t="str">
        <f aca="false">IF(O14="","",MAX(0,2-((O14-O15)-O$3)))</f>
        <v/>
      </c>
      <c r="P16" s="22" t="str">
        <f aca="false">IF(P14="","",MAX(0,2-((P14-P15)-P$3)))</f>
        <v/>
      </c>
      <c r="Q16" s="22" t="str">
        <f aca="false">IF(Q14="","",MAX(0,2-((Q14-Q15)-Q$3)))</f>
        <v/>
      </c>
      <c r="R16" s="22" t="str">
        <f aca="false">IF(R14="","",MAX(0,2-((R14-R15)-R$3)))</f>
        <v/>
      </c>
      <c r="S16" s="22" t="str">
        <f aca="false">IF(S14="","",MAX(0,2-((S14-S15)-S$3)))</f>
        <v/>
      </c>
      <c r="T16" s="22" t="str">
        <f aca="false">IF(T14="","",MAX(0,2-((T14-T15)-T$3)))</f>
        <v/>
      </c>
      <c r="U16" s="22" t="str">
        <f aca="false">IF(U14="","",MAX(0,2-((U14-U15)-U$3)))</f>
        <v/>
      </c>
      <c r="V16" s="22" t="n">
        <f aca="false">SUM(M16:U16)</f>
        <v>0</v>
      </c>
      <c r="W16" s="22" t="n">
        <f aca="false">L16+V16</f>
        <v>0</v>
      </c>
    </row>
    <row r="17" customFormat="false" ht="15" hidden="false" customHeight="true" outlineLevel="0" collapsed="false">
      <c r="A17" s="23" t="s">
        <v>86</v>
      </c>
      <c r="B17" s="24" t="n">
        <f aca="false">'Course Handicaps'!F8</f>
        <v>29</v>
      </c>
      <c r="C17" s="21"/>
      <c r="D17" s="21"/>
      <c r="E17" s="21"/>
      <c r="F17" s="21"/>
      <c r="G17" s="21"/>
      <c r="H17" s="21"/>
      <c r="I17" s="21"/>
      <c r="J17" s="21"/>
      <c r="K17" s="21"/>
      <c r="L17" s="22" t="str">
        <f aca="false">IF(COUNT(C17:K17)=0,"",SUM(C17:K17))</f>
        <v/>
      </c>
      <c r="M17" s="21"/>
      <c r="N17" s="21"/>
      <c r="O17" s="21"/>
      <c r="P17" s="21"/>
      <c r="Q17" s="21"/>
      <c r="R17" s="21"/>
      <c r="S17" s="21"/>
      <c r="T17" s="21"/>
      <c r="U17" s="21"/>
      <c r="V17" s="22" t="str">
        <f aca="false">IF(COUNT(M17:U17)=0,"",SUM(M17:U17))</f>
        <v/>
      </c>
      <c r="W17" s="22" t="str">
        <f aca="false">IF(AND(L17="",V17=""),"",SUM(L17,V17))</f>
        <v/>
      </c>
    </row>
    <row r="18" customFormat="false" ht="15" hidden="false" customHeight="true" outlineLevel="0" collapsed="false">
      <c r="A18" s="23" t="s">
        <v>87</v>
      </c>
      <c r="B18" s="5"/>
      <c r="C18" s="22" t="n">
        <f aca="false">IF($B17="","",FLOOR($B17/18,1)+IF(MOD($B17,18)&gt;=C$4,1,0))</f>
        <v>2</v>
      </c>
      <c r="D18" s="22" t="n">
        <f aca="false">IF($B17="","",FLOOR($B17/18,1)+IF(MOD($B17,18)&gt;=D$4,1,0))</f>
        <v>2</v>
      </c>
      <c r="E18" s="22" t="n">
        <f aca="false">IF($B17="","",FLOOR($B17/18,1)+IF(MOD($B17,18)&gt;=E$4,1,0))</f>
        <v>2</v>
      </c>
      <c r="F18" s="22" t="n">
        <f aca="false">IF($B17="","",FLOOR($B17/18,1)+IF(MOD($B17,18)&gt;=F$4,1,0))</f>
        <v>2</v>
      </c>
      <c r="G18" s="22" t="n">
        <f aca="false">IF($B17="","",FLOOR($B17/18,1)+IF(MOD($B17,18)&gt;=G$4,1,0))</f>
        <v>2</v>
      </c>
      <c r="H18" s="22" t="n">
        <f aca="false">IF($B17="","",FLOOR($B17/18,1)+IF(MOD($B17,18)&gt;=H$4,1,0))</f>
        <v>2</v>
      </c>
      <c r="I18" s="22" t="n">
        <f aca="false">IF($B17="","",FLOOR($B17/18,1)+IF(MOD($B17,18)&gt;=I$4,1,0))</f>
        <v>2</v>
      </c>
      <c r="J18" s="22" t="n">
        <f aca="false">IF($B17="","",FLOOR($B17/18,1)+IF(MOD($B17,18)&gt;=J$4,1,0))</f>
        <v>2</v>
      </c>
      <c r="K18" s="22" t="n">
        <f aca="false">IF($B17="","",FLOOR($B17/18,1)+IF(MOD($B17,18)&gt;=K$4,1,0))</f>
        <v>2</v>
      </c>
      <c r="L18" s="22" t="n">
        <f aca="false">IF(COUNT(C18:K18)=0,"",SUM(C18:K18))</f>
        <v>18</v>
      </c>
      <c r="M18" s="22" t="n">
        <f aca="false">IF($B17="","",FLOOR($B17/18,1)+IF(MOD($B17,18)&gt;=M$4,1,0))</f>
        <v>2</v>
      </c>
      <c r="N18" s="22" t="n">
        <f aca="false">IF($B17="","",FLOOR($B17/18,1)+IF(MOD($B17,18)&gt;=N$4,1,0))</f>
        <v>2</v>
      </c>
      <c r="O18" s="22" t="n">
        <f aca="false">IF($B17="","",FLOOR($B17/18,1)+IF(MOD($B17,18)&gt;=O$4,1,0))</f>
        <v>2</v>
      </c>
      <c r="P18" s="22" t="n">
        <f aca="false">IF($B17="","",FLOOR($B17/18,1)+IF(MOD($B17,18)&gt;=P$4,1,0))</f>
        <v>2</v>
      </c>
      <c r="Q18" s="22" t="n">
        <f aca="false">IF($B17="","",FLOOR($B17/18,1)+IF(MOD($B17,18)&gt;=Q$4,1,0))</f>
        <v>2</v>
      </c>
      <c r="R18" s="22" t="n">
        <f aca="false">IF($B17="","",FLOOR($B17/18,1)+IF(MOD($B17,18)&gt;=R$4,1,0))</f>
        <v>2</v>
      </c>
      <c r="S18" s="22" t="n">
        <f aca="false">IF($B17="","",FLOOR($B17/18,1)+IF(MOD($B17,18)&gt;=S$4,1,0))</f>
        <v>2</v>
      </c>
      <c r="T18" s="22" t="n">
        <f aca="false">IF($B17="","",FLOOR($B17/18,1)+IF(MOD($B17,18)&gt;=T$4,1,0))</f>
        <v>2</v>
      </c>
      <c r="U18" s="22" t="n">
        <f aca="false">IF($B17="","",FLOOR($B17/18,1)+IF(MOD($B17,18)&gt;=U$4,1,0))</f>
        <v>2</v>
      </c>
      <c r="V18" s="22" t="n">
        <f aca="false">IF(COUNT(M18:U18)=0,"",SUM(M18:U18))</f>
        <v>18</v>
      </c>
      <c r="W18" s="22" t="n">
        <f aca="false">IF(AND(L18="",V18=""),"",SUM(L18,V18))</f>
        <v>36</v>
      </c>
    </row>
    <row r="19" customFormat="false" ht="15" hidden="false" customHeight="true" outlineLevel="0" collapsed="false">
      <c r="A19" s="23" t="s">
        <v>88</v>
      </c>
      <c r="B19" s="5"/>
      <c r="C19" s="22" t="str">
        <f aca="false">IF(C17="","",MAX(0,2-((C17-C18)-C$3)))</f>
        <v/>
      </c>
      <c r="D19" s="22" t="str">
        <f aca="false">IF(D17="","",MAX(0,2-((D17-D18)-D$3)))</f>
        <v/>
      </c>
      <c r="E19" s="22" t="str">
        <f aca="false">IF(E17="","",MAX(0,2-((E17-E18)-E$3)))</f>
        <v/>
      </c>
      <c r="F19" s="22" t="str">
        <f aca="false">IF(F17="","",MAX(0,2-((F17-F18)-F$3)))</f>
        <v/>
      </c>
      <c r="G19" s="22" t="str">
        <f aca="false">IF(G17="","",MAX(0,2-((G17-G18)-G$3)))</f>
        <v/>
      </c>
      <c r="H19" s="22" t="str">
        <f aca="false">IF(H17="","",MAX(0,2-((H17-H18)-H$3)))</f>
        <v/>
      </c>
      <c r="I19" s="22" t="str">
        <f aca="false">IF(I17="","",MAX(0,2-((I17-I18)-I$3)))</f>
        <v/>
      </c>
      <c r="J19" s="22" t="str">
        <f aca="false">IF(J17="","",MAX(0,2-((J17-J18)-J$3)))</f>
        <v/>
      </c>
      <c r="K19" s="22" t="str">
        <f aca="false">IF(K17="","",MAX(0,2-((K17-K18)-K$3)))</f>
        <v/>
      </c>
      <c r="L19" s="22" t="n">
        <f aca="false">SUM(C19:K19)</f>
        <v>0</v>
      </c>
      <c r="M19" s="22" t="str">
        <f aca="false">IF(M17="","",MAX(0,2-((M17-M18)-M$3)))</f>
        <v/>
      </c>
      <c r="N19" s="22" t="str">
        <f aca="false">IF(N17="","",MAX(0,2-((N17-N18)-N$3)))</f>
        <v/>
      </c>
      <c r="O19" s="22" t="str">
        <f aca="false">IF(O17="","",MAX(0,2-((O17-O18)-O$3)))</f>
        <v/>
      </c>
      <c r="P19" s="22" t="str">
        <f aca="false">IF(P17="","",MAX(0,2-((P17-P18)-P$3)))</f>
        <v/>
      </c>
      <c r="Q19" s="22" t="str">
        <f aca="false">IF(Q17="","",MAX(0,2-((Q17-Q18)-Q$3)))</f>
        <v/>
      </c>
      <c r="R19" s="22" t="str">
        <f aca="false">IF(R17="","",MAX(0,2-((R17-R18)-R$3)))</f>
        <v/>
      </c>
      <c r="S19" s="22" t="str">
        <f aca="false">IF(S17="","",MAX(0,2-((S17-S18)-S$3)))</f>
        <v/>
      </c>
      <c r="T19" s="22" t="str">
        <f aca="false">IF(T17="","",MAX(0,2-((T17-T18)-T$3)))</f>
        <v/>
      </c>
      <c r="U19" s="22" t="str">
        <f aca="false">IF(U17="","",MAX(0,2-((U17-U18)-U$3)))</f>
        <v/>
      </c>
      <c r="V19" s="22" t="n">
        <f aca="false">SUM(M19:U19)</f>
        <v>0</v>
      </c>
      <c r="W19" s="22" t="n">
        <f aca="false">L19+V19</f>
        <v>0</v>
      </c>
    </row>
    <row r="20" customFormat="false" ht="15" hidden="false" customHeight="true" outlineLevel="0" collapsed="false">
      <c r="A20" s="23" t="s">
        <v>89</v>
      </c>
      <c r="B20" s="24" t="n">
        <f aca="false">'Course Handicaps'!F9</f>
        <v>20</v>
      </c>
      <c r="C20" s="21"/>
      <c r="D20" s="21"/>
      <c r="E20" s="21"/>
      <c r="F20" s="21"/>
      <c r="G20" s="21"/>
      <c r="H20" s="21"/>
      <c r="I20" s="21"/>
      <c r="J20" s="21"/>
      <c r="K20" s="21"/>
      <c r="L20" s="22" t="str">
        <f aca="false">IF(COUNT(C20:K20)=0,"",SUM(C20:K20))</f>
        <v/>
      </c>
      <c r="M20" s="21"/>
      <c r="N20" s="21"/>
      <c r="O20" s="21"/>
      <c r="P20" s="21"/>
      <c r="Q20" s="21"/>
      <c r="R20" s="21"/>
      <c r="S20" s="21"/>
      <c r="T20" s="21"/>
      <c r="U20" s="21"/>
      <c r="V20" s="22" t="str">
        <f aca="false">IF(COUNT(M20:U20)=0,"",SUM(M20:U20))</f>
        <v/>
      </c>
      <c r="W20" s="22" t="str">
        <f aca="false">IF(AND(L20="",V20=""),"",SUM(L20,V20))</f>
        <v/>
      </c>
    </row>
    <row r="21" customFormat="false" ht="15" hidden="false" customHeight="true" outlineLevel="0" collapsed="false">
      <c r="A21" s="23" t="s">
        <v>90</v>
      </c>
      <c r="B21" s="5"/>
      <c r="C21" s="22" t="n">
        <f aca="false">IF($B20="","",FLOOR($B20/18,1)+IF(MOD($B20,18)&gt;=C$4,1,0))</f>
        <v>2</v>
      </c>
      <c r="D21" s="22" t="n">
        <f aca="false">IF($B20="","",FLOOR($B20/18,1)+IF(MOD($B20,18)&gt;=D$4,1,0))</f>
        <v>2</v>
      </c>
      <c r="E21" s="22" t="n">
        <f aca="false">IF($B20="","",FLOOR($B20/18,1)+IF(MOD($B20,18)&gt;=E$4,1,0))</f>
        <v>2</v>
      </c>
      <c r="F21" s="22" t="n">
        <f aca="false">IF($B20="","",FLOOR($B20/18,1)+IF(MOD($B20,18)&gt;=F$4,1,0))</f>
        <v>2</v>
      </c>
      <c r="G21" s="22" t="n">
        <f aca="false">IF($B20="","",FLOOR($B20/18,1)+IF(MOD($B20,18)&gt;=G$4,1,0))</f>
        <v>2</v>
      </c>
      <c r="H21" s="22" t="n">
        <f aca="false">IF($B20="","",FLOOR($B20/18,1)+IF(MOD($B20,18)&gt;=H$4,1,0))</f>
        <v>2</v>
      </c>
      <c r="I21" s="22" t="n">
        <f aca="false">IF($B20="","",FLOOR($B20/18,1)+IF(MOD($B20,18)&gt;=I$4,1,0))</f>
        <v>2</v>
      </c>
      <c r="J21" s="22" t="n">
        <f aca="false">IF($B20="","",FLOOR($B20/18,1)+IF(MOD($B20,18)&gt;=J$4,1,0))</f>
        <v>2</v>
      </c>
      <c r="K21" s="22" t="n">
        <f aca="false">IF($B20="","",FLOOR($B20/18,1)+IF(MOD($B20,18)&gt;=K$4,1,0))</f>
        <v>2</v>
      </c>
      <c r="L21" s="22" t="n">
        <f aca="false">IF(COUNT(C21:K21)=0,"",SUM(C21:K21))</f>
        <v>18</v>
      </c>
      <c r="M21" s="22" t="n">
        <f aca="false">IF($B20="","",FLOOR($B20/18,1)+IF(MOD($B20,18)&gt;=M$4,1,0))</f>
        <v>2</v>
      </c>
      <c r="N21" s="22" t="n">
        <f aca="false">IF($B20="","",FLOOR($B20/18,1)+IF(MOD($B20,18)&gt;=N$4,1,0))</f>
        <v>2</v>
      </c>
      <c r="O21" s="22" t="n">
        <f aca="false">IF($B20="","",FLOOR($B20/18,1)+IF(MOD($B20,18)&gt;=O$4,1,0))</f>
        <v>2</v>
      </c>
      <c r="P21" s="22" t="n">
        <f aca="false">IF($B20="","",FLOOR($B20/18,1)+IF(MOD($B20,18)&gt;=P$4,1,0))</f>
        <v>2</v>
      </c>
      <c r="Q21" s="22" t="n">
        <f aca="false">IF($B20="","",FLOOR($B20/18,1)+IF(MOD($B20,18)&gt;=Q$4,1,0))</f>
        <v>2</v>
      </c>
      <c r="R21" s="22" t="n">
        <f aca="false">IF($B20="","",FLOOR($B20/18,1)+IF(MOD($B20,18)&gt;=R$4,1,0))</f>
        <v>2</v>
      </c>
      <c r="S21" s="22" t="n">
        <f aca="false">IF($B20="","",FLOOR($B20/18,1)+IF(MOD($B20,18)&gt;=S$4,1,0))</f>
        <v>2</v>
      </c>
      <c r="T21" s="22" t="n">
        <f aca="false">IF($B20="","",FLOOR($B20/18,1)+IF(MOD($B20,18)&gt;=T$4,1,0))</f>
        <v>2</v>
      </c>
      <c r="U21" s="22" t="n">
        <f aca="false">IF($B20="","",FLOOR($B20/18,1)+IF(MOD($B20,18)&gt;=U$4,1,0))</f>
        <v>2</v>
      </c>
      <c r="V21" s="22" t="n">
        <f aca="false">IF(COUNT(M21:U21)=0,"",SUM(M21:U21))</f>
        <v>18</v>
      </c>
      <c r="W21" s="22" t="n">
        <f aca="false">IF(AND(L21="",V21=""),"",SUM(L21,V21))</f>
        <v>36</v>
      </c>
    </row>
    <row r="22" customFormat="false" ht="15" hidden="false" customHeight="true" outlineLevel="0" collapsed="false">
      <c r="A22" s="23" t="s">
        <v>91</v>
      </c>
      <c r="B22" s="5"/>
      <c r="C22" s="22" t="str">
        <f aca="false">IF(C20="","",MAX(0,2-((C20-C21)-C$3)))</f>
        <v/>
      </c>
      <c r="D22" s="22" t="str">
        <f aca="false">IF(D20="","",MAX(0,2-((D20-D21)-D$3)))</f>
        <v/>
      </c>
      <c r="E22" s="22" t="str">
        <f aca="false">IF(E20="","",MAX(0,2-((E20-E21)-E$3)))</f>
        <v/>
      </c>
      <c r="F22" s="22" t="str">
        <f aca="false">IF(F20="","",MAX(0,2-((F20-F21)-F$3)))</f>
        <v/>
      </c>
      <c r="G22" s="22" t="str">
        <f aca="false">IF(G20="","",MAX(0,2-((G20-G21)-G$3)))</f>
        <v/>
      </c>
      <c r="H22" s="22" t="str">
        <f aca="false">IF(H20="","",MAX(0,2-((H20-H21)-H$3)))</f>
        <v/>
      </c>
      <c r="I22" s="22" t="str">
        <f aca="false">IF(I20="","",MAX(0,2-((I20-I21)-I$3)))</f>
        <v/>
      </c>
      <c r="J22" s="22" t="str">
        <f aca="false">IF(J20="","",MAX(0,2-((J20-J21)-J$3)))</f>
        <v/>
      </c>
      <c r="K22" s="22" t="str">
        <f aca="false">IF(K20="","",MAX(0,2-((K20-K21)-K$3)))</f>
        <v/>
      </c>
      <c r="L22" s="22" t="n">
        <f aca="false">SUM(C22:K22)</f>
        <v>0</v>
      </c>
      <c r="M22" s="22" t="str">
        <f aca="false">IF(M20="","",MAX(0,2-((M20-M21)-M$3)))</f>
        <v/>
      </c>
      <c r="N22" s="22" t="str">
        <f aca="false">IF(N20="","",MAX(0,2-((N20-N21)-N$3)))</f>
        <v/>
      </c>
      <c r="O22" s="22" t="str">
        <f aca="false">IF(O20="","",MAX(0,2-((O20-O21)-O$3)))</f>
        <v/>
      </c>
      <c r="P22" s="22" t="str">
        <f aca="false">IF(P20="","",MAX(0,2-((P20-P21)-P$3)))</f>
        <v/>
      </c>
      <c r="Q22" s="22" t="str">
        <f aca="false">IF(Q20="","",MAX(0,2-((Q20-Q21)-Q$3)))</f>
        <v/>
      </c>
      <c r="R22" s="22" t="str">
        <f aca="false">IF(R20="","",MAX(0,2-((R20-R21)-R$3)))</f>
        <v/>
      </c>
      <c r="S22" s="22" t="str">
        <f aca="false">IF(S20="","",MAX(0,2-((S20-S21)-S$3)))</f>
        <v/>
      </c>
      <c r="T22" s="22" t="str">
        <f aca="false">IF(T20="","",MAX(0,2-((T20-T21)-T$3)))</f>
        <v/>
      </c>
      <c r="U22" s="22" t="str">
        <f aca="false">IF(U20="","",MAX(0,2-((U20-U21)-U$3)))</f>
        <v/>
      </c>
      <c r="V22" s="22" t="n">
        <f aca="false">SUM(M22:U22)</f>
        <v>0</v>
      </c>
      <c r="W22" s="22" t="n">
        <f aca="false">L22+V22</f>
        <v>0</v>
      </c>
    </row>
    <row r="23" customFormat="false" ht="15" hidden="false" customHeight="true" outlineLevel="0" collapsed="false">
      <c r="A23" s="23" t="s">
        <v>92</v>
      </c>
      <c r="B23" s="24" t="n">
        <f aca="false">'Course Handicaps'!F10</f>
        <v>16</v>
      </c>
      <c r="C23" s="21"/>
      <c r="D23" s="21"/>
      <c r="E23" s="21"/>
      <c r="F23" s="21"/>
      <c r="G23" s="21"/>
      <c r="H23" s="21"/>
      <c r="I23" s="21"/>
      <c r="J23" s="21"/>
      <c r="K23" s="21"/>
      <c r="L23" s="22" t="str">
        <f aca="false">IF(COUNT(C23:K23)=0,"",SUM(C23:K23))</f>
        <v/>
      </c>
      <c r="M23" s="21"/>
      <c r="N23" s="21"/>
      <c r="O23" s="21"/>
      <c r="P23" s="21"/>
      <c r="Q23" s="21"/>
      <c r="R23" s="21"/>
      <c r="S23" s="21"/>
      <c r="T23" s="21"/>
      <c r="U23" s="21"/>
      <c r="V23" s="22" t="str">
        <f aca="false">IF(COUNT(M23:U23)=0,"",SUM(M23:U23))</f>
        <v/>
      </c>
      <c r="W23" s="22" t="str">
        <f aca="false">IF(AND(L23="",V23=""),"",SUM(L23,V23))</f>
        <v/>
      </c>
    </row>
    <row r="24" customFormat="false" ht="15" hidden="false" customHeight="true" outlineLevel="0" collapsed="false">
      <c r="A24" s="23" t="s">
        <v>93</v>
      </c>
      <c r="B24" s="5"/>
      <c r="C24" s="22" t="n">
        <f aca="false">IF($B23="","",FLOOR($B23/18,1)+IF(MOD($B23,18)&gt;=C$4,1,0))</f>
        <v>1</v>
      </c>
      <c r="D24" s="22" t="n">
        <f aca="false">IF($B23="","",FLOOR($B23/18,1)+IF(MOD($B23,18)&gt;=D$4,1,0))</f>
        <v>1</v>
      </c>
      <c r="E24" s="22" t="n">
        <f aca="false">IF($B23="","",FLOOR($B23/18,1)+IF(MOD($B23,18)&gt;=E$4,1,0))</f>
        <v>1</v>
      </c>
      <c r="F24" s="22" t="n">
        <f aca="false">IF($B23="","",FLOOR($B23/18,1)+IF(MOD($B23,18)&gt;=F$4,1,0))</f>
        <v>1</v>
      </c>
      <c r="G24" s="22" t="n">
        <f aca="false">IF($B23="","",FLOOR($B23/18,1)+IF(MOD($B23,18)&gt;=G$4,1,0))</f>
        <v>1</v>
      </c>
      <c r="H24" s="22" t="n">
        <f aca="false">IF($B23="","",FLOOR($B23/18,1)+IF(MOD($B23,18)&gt;=H$4,1,0))</f>
        <v>1</v>
      </c>
      <c r="I24" s="22" t="n">
        <f aca="false">IF($B23="","",FLOOR($B23/18,1)+IF(MOD($B23,18)&gt;=I$4,1,0))</f>
        <v>1</v>
      </c>
      <c r="J24" s="22" t="n">
        <f aca="false">IF($B23="","",FLOOR($B23/18,1)+IF(MOD($B23,18)&gt;=J$4,1,0))</f>
        <v>1</v>
      </c>
      <c r="K24" s="22" t="n">
        <f aca="false">IF($B23="","",FLOOR($B23/18,1)+IF(MOD($B23,18)&gt;=K$4,1,0))</f>
        <v>1</v>
      </c>
      <c r="L24" s="22" t="n">
        <f aca="false">IF(COUNT(C24:K24)=0,"",SUM(C24:K24))</f>
        <v>9</v>
      </c>
      <c r="M24" s="22" t="n">
        <f aca="false">IF($B23="","",FLOOR($B23/18,1)+IF(MOD($B23,18)&gt;=M$4,1,0))</f>
        <v>1</v>
      </c>
      <c r="N24" s="22" t="n">
        <f aca="false">IF($B23="","",FLOOR($B23/18,1)+IF(MOD($B23,18)&gt;=N$4,1,0))</f>
        <v>1</v>
      </c>
      <c r="O24" s="22" t="n">
        <f aca="false">IF($B23="","",FLOOR($B23/18,1)+IF(MOD($B23,18)&gt;=O$4,1,0))</f>
        <v>1</v>
      </c>
      <c r="P24" s="22" t="n">
        <f aca="false">IF($B23="","",FLOOR($B23/18,1)+IF(MOD($B23,18)&gt;=P$4,1,0))</f>
        <v>1</v>
      </c>
      <c r="Q24" s="22" t="n">
        <f aca="false">IF($B23="","",FLOOR($B23/18,1)+IF(MOD($B23,18)&gt;=Q$4,1,0))</f>
        <v>1</v>
      </c>
      <c r="R24" s="22" t="n">
        <f aca="false">IF($B23="","",FLOOR($B23/18,1)+IF(MOD($B23,18)&gt;=R$4,1,0))</f>
        <v>1</v>
      </c>
      <c r="S24" s="22" t="n">
        <f aca="false">IF($B23="","",FLOOR($B23/18,1)+IF(MOD($B23,18)&gt;=S$4,1,0))</f>
        <v>1</v>
      </c>
      <c r="T24" s="22" t="n">
        <f aca="false">IF($B23="","",FLOOR($B23/18,1)+IF(MOD($B23,18)&gt;=T$4,1,0))</f>
        <v>1</v>
      </c>
      <c r="U24" s="22" t="n">
        <f aca="false">IF($B23="","",FLOOR($B23/18,1)+IF(MOD($B23,18)&gt;=U$4,1,0))</f>
        <v>1</v>
      </c>
      <c r="V24" s="22" t="n">
        <f aca="false">IF(COUNT(M24:U24)=0,"",SUM(M24:U24))</f>
        <v>9</v>
      </c>
      <c r="W24" s="22" t="n">
        <f aca="false">IF(AND(L24="",V24=""),"",SUM(L24,V24))</f>
        <v>18</v>
      </c>
    </row>
    <row r="25" customFormat="false" ht="15" hidden="false" customHeight="true" outlineLevel="0" collapsed="false">
      <c r="A25" s="23" t="s">
        <v>94</v>
      </c>
      <c r="B25" s="5"/>
      <c r="C25" s="22" t="str">
        <f aca="false">IF(C23="","",MAX(0,2-((C23-C24)-C$3)))</f>
        <v/>
      </c>
      <c r="D25" s="22" t="str">
        <f aca="false">IF(D23="","",MAX(0,2-((D23-D24)-D$3)))</f>
        <v/>
      </c>
      <c r="E25" s="22" t="str">
        <f aca="false">IF(E23="","",MAX(0,2-((E23-E24)-E$3)))</f>
        <v/>
      </c>
      <c r="F25" s="22" t="str">
        <f aca="false">IF(F23="","",MAX(0,2-((F23-F24)-F$3)))</f>
        <v/>
      </c>
      <c r="G25" s="22" t="str">
        <f aca="false">IF(G23="","",MAX(0,2-((G23-G24)-G$3)))</f>
        <v/>
      </c>
      <c r="H25" s="22" t="str">
        <f aca="false">IF(H23="","",MAX(0,2-((H23-H24)-H$3)))</f>
        <v/>
      </c>
      <c r="I25" s="22" t="str">
        <f aca="false">IF(I23="","",MAX(0,2-((I23-I24)-I$3)))</f>
        <v/>
      </c>
      <c r="J25" s="22" t="str">
        <f aca="false">IF(J23="","",MAX(0,2-((J23-J24)-J$3)))</f>
        <v/>
      </c>
      <c r="K25" s="22" t="str">
        <f aca="false">IF(K23="","",MAX(0,2-((K23-K24)-K$3)))</f>
        <v/>
      </c>
      <c r="L25" s="22" t="n">
        <f aca="false">SUM(C25:K25)</f>
        <v>0</v>
      </c>
      <c r="M25" s="22" t="str">
        <f aca="false">IF(M23="","",MAX(0,2-((M23-M24)-M$3)))</f>
        <v/>
      </c>
      <c r="N25" s="22" t="str">
        <f aca="false">IF(N23="","",MAX(0,2-((N23-N24)-N$3)))</f>
        <v/>
      </c>
      <c r="O25" s="22" t="str">
        <f aca="false">IF(O23="","",MAX(0,2-((O23-O24)-O$3)))</f>
        <v/>
      </c>
      <c r="P25" s="22" t="str">
        <f aca="false">IF(P23="","",MAX(0,2-((P23-P24)-P$3)))</f>
        <v/>
      </c>
      <c r="Q25" s="22" t="str">
        <f aca="false">IF(Q23="","",MAX(0,2-((Q23-Q24)-Q$3)))</f>
        <v/>
      </c>
      <c r="R25" s="22" t="str">
        <f aca="false">IF(R23="","",MAX(0,2-((R23-R24)-R$3)))</f>
        <v/>
      </c>
      <c r="S25" s="22" t="str">
        <f aca="false">IF(S23="","",MAX(0,2-((S23-S24)-S$3)))</f>
        <v/>
      </c>
      <c r="T25" s="22" t="str">
        <f aca="false">IF(T23="","",MAX(0,2-((T23-T24)-T$3)))</f>
        <v/>
      </c>
      <c r="U25" s="22" t="str">
        <f aca="false">IF(U23="","",MAX(0,2-((U23-U24)-U$3)))</f>
        <v/>
      </c>
      <c r="V25" s="22" t="n">
        <f aca="false">SUM(M25:U25)</f>
        <v>0</v>
      </c>
      <c r="W25" s="22" t="n">
        <f aca="false">L25+V25</f>
        <v>0</v>
      </c>
    </row>
    <row r="26" customFormat="false" ht="15" hidden="false" customHeight="true" outlineLevel="0" collapsed="false">
      <c r="A26" s="23" t="s">
        <v>95</v>
      </c>
      <c r="B26" s="24" t="n">
        <f aca="false">'Course Handicaps'!F11</f>
        <v>28</v>
      </c>
      <c r="C26" s="21"/>
      <c r="D26" s="21"/>
      <c r="E26" s="21"/>
      <c r="F26" s="21"/>
      <c r="G26" s="21"/>
      <c r="H26" s="21"/>
      <c r="I26" s="21"/>
      <c r="J26" s="21"/>
      <c r="K26" s="21"/>
      <c r="L26" s="22" t="str">
        <f aca="false">IF(COUNT(C26:K26)=0,"",SUM(C26:K26))</f>
        <v/>
      </c>
      <c r="M26" s="21"/>
      <c r="N26" s="21"/>
      <c r="O26" s="21"/>
      <c r="P26" s="21"/>
      <c r="Q26" s="21"/>
      <c r="R26" s="21"/>
      <c r="S26" s="21"/>
      <c r="T26" s="21"/>
      <c r="U26" s="21"/>
      <c r="V26" s="22" t="str">
        <f aca="false">IF(COUNT(M26:U26)=0,"",SUM(M26:U26))</f>
        <v/>
      </c>
      <c r="W26" s="22" t="str">
        <f aca="false">IF(AND(L26="",V26=""),"",SUM(L26,V26))</f>
        <v/>
      </c>
    </row>
    <row r="27" customFormat="false" ht="15" hidden="false" customHeight="true" outlineLevel="0" collapsed="false">
      <c r="A27" s="23" t="s">
        <v>96</v>
      </c>
      <c r="B27" s="5"/>
      <c r="C27" s="22" t="n">
        <f aca="false">IF($B26="","",FLOOR($B26/18,1)+IF(MOD($B26,18)&gt;=C$4,1,0))</f>
        <v>2</v>
      </c>
      <c r="D27" s="22" t="n">
        <f aca="false">IF($B26="","",FLOOR($B26/18,1)+IF(MOD($B26,18)&gt;=D$4,1,0))</f>
        <v>2</v>
      </c>
      <c r="E27" s="22" t="n">
        <f aca="false">IF($B26="","",FLOOR($B26/18,1)+IF(MOD($B26,18)&gt;=E$4,1,0))</f>
        <v>2</v>
      </c>
      <c r="F27" s="22" t="n">
        <f aca="false">IF($B26="","",FLOOR($B26/18,1)+IF(MOD($B26,18)&gt;=F$4,1,0))</f>
        <v>2</v>
      </c>
      <c r="G27" s="22" t="n">
        <f aca="false">IF($B26="","",FLOOR($B26/18,1)+IF(MOD($B26,18)&gt;=G$4,1,0))</f>
        <v>2</v>
      </c>
      <c r="H27" s="22" t="n">
        <f aca="false">IF($B26="","",FLOOR($B26/18,1)+IF(MOD($B26,18)&gt;=H$4,1,0))</f>
        <v>2</v>
      </c>
      <c r="I27" s="22" t="n">
        <f aca="false">IF($B26="","",FLOOR($B26/18,1)+IF(MOD($B26,18)&gt;=I$4,1,0))</f>
        <v>2</v>
      </c>
      <c r="J27" s="22" t="n">
        <f aca="false">IF($B26="","",FLOOR($B26/18,1)+IF(MOD($B26,18)&gt;=J$4,1,0))</f>
        <v>2</v>
      </c>
      <c r="K27" s="22" t="n">
        <f aca="false">IF($B26="","",FLOOR($B26/18,1)+IF(MOD($B26,18)&gt;=K$4,1,0))</f>
        <v>2</v>
      </c>
      <c r="L27" s="22" t="n">
        <f aca="false">IF(COUNT(C27:K27)=0,"",SUM(C27:K27))</f>
        <v>18</v>
      </c>
      <c r="M27" s="22" t="n">
        <f aca="false">IF($B26="","",FLOOR($B26/18,1)+IF(MOD($B26,18)&gt;=M$4,1,0))</f>
        <v>2</v>
      </c>
      <c r="N27" s="22" t="n">
        <f aca="false">IF($B26="","",FLOOR($B26/18,1)+IF(MOD($B26,18)&gt;=N$4,1,0))</f>
        <v>2</v>
      </c>
      <c r="O27" s="22" t="n">
        <f aca="false">IF($B26="","",FLOOR($B26/18,1)+IF(MOD($B26,18)&gt;=O$4,1,0))</f>
        <v>2</v>
      </c>
      <c r="P27" s="22" t="n">
        <f aca="false">IF($B26="","",FLOOR($B26/18,1)+IF(MOD($B26,18)&gt;=P$4,1,0))</f>
        <v>2</v>
      </c>
      <c r="Q27" s="22" t="n">
        <f aca="false">IF($B26="","",FLOOR($B26/18,1)+IF(MOD($B26,18)&gt;=Q$4,1,0))</f>
        <v>2</v>
      </c>
      <c r="R27" s="22" t="n">
        <f aca="false">IF($B26="","",FLOOR($B26/18,1)+IF(MOD($B26,18)&gt;=R$4,1,0))</f>
        <v>2</v>
      </c>
      <c r="S27" s="22" t="n">
        <f aca="false">IF($B26="","",FLOOR($B26/18,1)+IF(MOD($B26,18)&gt;=S$4,1,0))</f>
        <v>2</v>
      </c>
      <c r="T27" s="22" t="n">
        <f aca="false">IF($B26="","",FLOOR($B26/18,1)+IF(MOD($B26,18)&gt;=T$4,1,0))</f>
        <v>2</v>
      </c>
      <c r="U27" s="22" t="n">
        <f aca="false">IF($B26="","",FLOOR($B26/18,1)+IF(MOD($B26,18)&gt;=U$4,1,0))</f>
        <v>2</v>
      </c>
      <c r="V27" s="22" t="n">
        <f aca="false">IF(COUNT(M27:U27)=0,"",SUM(M27:U27))</f>
        <v>18</v>
      </c>
      <c r="W27" s="22" t="n">
        <f aca="false">IF(AND(L27="",V27=""),"",SUM(L27,V27))</f>
        <v>36</v>
      </c>
    </row>
    <row r="28" customFormat="false" ht="15" hidden="false" customHeight="true" outlineLevel="0" collapsed="false">
      <c r="A28" s="23" t="s">
        <v>97</v>
      </c>
      <c r="B28" s="5"/>
      <c r="C28" s="22" t="str">
        <f aca="false">IF(C26="","",MAX(0,2-((C26-C27)-C$3)))</f>
        <v/>
      </c>
      <c r="D28" s="22" t="str">
        <f aca="false">IF(D26="","",MAX(0,2-((D26-D27)-D$3)))</f>
        <v/>
      </c>
      <c r="E28" s="22" t="str">
        <f aca="false">IF(E26="","",MAX(0,2-((E26-E27)-E$3)))</f>
        <v/>
      </c>
      <c r="F28" s="22" t="str">
        <f aca="false">IF(F26="","",MAX(0,2-((F26-F27)-F$3)))</f>
        <v/>
      </c>
      <c r="G28" s="22" t="str">
        <f aca="false">IF(G26="","",MAX(0,2-((G26-G27)-G$3)))</f>
        <v/>
      </c>
      <c r="H28" s="22" t="str">
        <f aca="false">IF(H26="","",MAX(0,2-((H26-H27)-H$3)))</f>
        <v/>
      </c>
      <c r="I28" s="22" t="str">
        <f aca="false">IF(I26="","",MAX(0,2-((I26-I27)-I$3)))</f>
        <v/>
      </c>
      <c r="J28" s="22" t="str">
        <f aca="false">IF(J26="","",MAX(0,2-((J26-J27)-J$3)))</f>
        <v/>
      </c>
      <c r="K28" s="22" t="str">
        <f aca="false">IF(K26="","",MAX(0,2-((K26-K27)-K$3)))</f>
        <v/>
      </c>
      <c r="L28" s="22" t="n">
        <f aca="false">SUM(C28:K28)</f>
        <v>0</v>
      </c>
      <c r="M28" s="22" t="str">
        <f aca="false">IF(M26="","",MAX(0,2-((M26-M27)-M$3)))</f>
        <v/>
      </c>
      <c r="N28" s="22" t="str">
        <f aca="false">IF(N26="","",MAX(0,2-((N26-N27)-N$3)))</f>
        <v/>
      </c>
      <c r="O28" s="22" t="str">
        <f aca="false">IF(O26="","",MAX(0,2-((O26-O27)-O$3)))</f>
        <v/>
      </c>
      <c r="P28" s="22" t="str">
        <f aca="false">IF(P26="","",MAX(0,2-((P26-P27)-P$3)))</f>
        <v/>
      </c>
      <c r="Q28" s="22" t="str">
        <f aca="false">IF(Q26="","",MAX(0,2-((Q26-Q27)-Q$3)))</f>
        <v/>
      </c>
      <c r="R28" s="22" t="str">
        <f aca="false">IF(R26="","",MAX(0,2-((R26-R27)-R$3)))</f>
        <v/>
      </c>
      <c r="S28" s="22" t="str">
        <f aca="false">IF(S26="","",MAX(0,2-((S26-S27)-S$3)))</f>
        <v/>
      </c>
      <c r="T28" s="22" t="str">
        <f aca="false">IF(T26="","",MAX(0,2-((T26-T27)-T$3)))</f>
        <v/>
      </c>
      <c r="U28" s="22" t="str">
        <f aca="false">IF(U26="","",MAX(0,2-((U26-U27)-U$3)))</f>
        <v/>
      </c>
      <c r="V28" s="22" t="n">
        <f aca="false">SUM(M28:U28)</f>
        <v>0</v>
      </c>
      <c r="W28" s="22" t="n">
        <f aca="false">L28+V28</f>
        <v>0</v>
      </c>
    </row>
    <row r="29" customFormat="false" ht="15" hidden="false" customHeight="true" outlineLevel="0" collapsed="false">
      <c r="A29" s="5"/>
      <c r="B29" s="5"/>
      <c r="C29" s="5"/>
      <c r="D29" s="5"/>
      <c r="E29" s="5"/>
      <c r="F29" s="5"/>
      <c r="G29" s="5"/>
      <c r="H29" s="5"/>
      <c r="I29" s="5"/>
      <c r="J29" s="5"/>
      <c r="K29" s="5"/>
      <c r="L29" s="5"/>
      <c r="M29" s="5"/>
      <c r="N29" s="5"/>
      <c r="O29" s="5"/>
      <c r="P29" s="5"/>
      <c r="Q29" s="5"/>
      <c r="R29" s="5"/>
      <c r="S29" s="5"/>
      <c r="T29" s="5"/>
      <c r="U29" s="5"/>
      <c r="V29" s="5"/>
      <c r="W29" s="5"/>
    </row>
    <row r="30" customFormat="false" ht="15" hidden="false" customHeight="true" outlineLevel="0" collapsed="false">
      <c r="A30" s="18" t="s">
        <v>98</v>
      </c>
      <c r="B30" s="18"/>
      <c r="C30" s="18"/>
      <c r="D30" s="18"/>
      <c r="E30" s="18"/>
      <c r="F30" s="18"/>
      <c r="G30" s="18"/>
      <c r="H30" s="18"/>
      <c r="I30" s="18"/>
      <c r="J30" s="18"/>
      <c r="K30" s="18"/>
      <c r="L30" s="18"/>
      <c r="M30" s="18"/>
      <c r="N30" s="18"/>
      <c r="O30" s="18"/>
      <c r="P30" s="18"/>
      <c r="Q30" s="18"/>
      <c r="R30" s="18"/>
      <c r="S30" s="18"/>
      <c r="T30" s="18"/>
      <c r="U30" s="18"/>
      <c r="V30" s="18"/>
      <c r="W30" s="18"/>
    </row>
  </sheetData>
  <mergeCells count="2">
    <mergeCell ref="A1:W1"/>
    <mergeCell ref="A30:W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0" width="20"/>
    <col collapsed="false" customWidth="true" hidden="false" outlineLevel="0" max="2" min="2" style="0" width="7"/>
    <col collapsed="false" customWidth="true" hidden="false" outlineLevel="0" max="20" min="3" style="0" width="6.51"/>
    <col collapsed="false" customWidth="true" hidden="false" outlineLevel="0" max="21" min="21" style="0" width="7"/>
    <col collapsed="false" customWidth="true" hidden="false" outlineLevel="0" max="23" min="23" style="0" width="8"/>
  </cols>
  <sheetData>
    <row r="1" customFormat="false" ht="24" hidden="false" customHeight="true" outlineLevel="0" collapsed="false">
      <c r="A1" s="19" t="s">
        <v>100</v>
      </c>
      <c r="B1" s="19"/>
      <c r="C1" s="19"/>
      <c r="D1" s="19"/>
      <c r="E1" s="19"/>
      <c r="F1" s="19"/>
      <c r="G1" s="19"/>
      <c r="H1" s="19"/>
      <c r="I1" s="19"/>
      <c r="J1" s="19"/>
      <c r="K1" s="19"/>
      <c r="L1" s="19"/>
      <c r="M1" s="19"/>
      <c r="N1" s="19"/>
      <c r="O1" s="19"/>
      <c r="P1" s="19"/>
      <c r="Q1" s="19"/>
      <c r="R1" s="19"/>
      <c r="S1" s="19"/>
      <c r="T1" s="19"/>
      <c r="U1" s="19"/>
      <c r="V1" s="19"/>
      <c r="W1" s="19"/>
    </row>
    <row r="2" customFormat="false" ht="15" hidden="false" customHeight="true" outlineLevel="0" collapsed="false">
      <c r="A2" s="8" t="s">
        <v>67</v>
      </c>
      <c r="B2" s="8" t="s">
        <v>68</v>
      </c>
      <c r="C2" s="8" t="n">
        <v>1</v>
      </c>
      <c r="D2" s="8" t="n">
        <v>2</v>
      </c>
      <c r="E2" s="8" t="n">
        <v>3</v>
      </c>
      <c r="F2" s="8" t="n">
        <v>4</v>
      </c>
      <c r="G2" s="8" t="n">
        <v>5</v>
      </c>
      <c r="H2" s="8" t="n">
        <v>6</v>
      </c>
      <c r="I2" s="8" t="n">
        <v>7</v>
      </c>
      <c r="J2" s="8" t="n">
        <v>8</v>
      </c>
      <c r="K2" s="8" t="n">
        <v>9</v>
      </c>
      <c r="L2" s="8" t="s">
        <v>69</v>
      </c>
      <c r="M2" s="8" t="n">
        <v>10</v>
      </c>
      <c r="N2" s="8" t="n">
        <v>11</v>
      </c>
      <c r="O2" s="8" t="n">
        <v>12</v>
      </c>
      <c r="P2" s="8" t="n">
        <v>13</v>
      </c>
      <c r="Q2" s="8" t="n">
        <v>14</v>
      </c>
      <c r="R2" s="8" t="n">
        <v>15</v>
      </c>
      <c r="S2" s="8" t="n">
        <v>16</v>
      </c>
      <c r="T2" s="8" t="n">
        <v>17</v>
      </c>
      <c r="U2" s="8" t="n">
        <v>18</v>
      </c>
      <c r="V2" s="8" t="s">
        <v>70</v>
      </c>
      <c r="W2" s="8" t="s">
        <v>71</v>
      </c>
    </row>
    <row r="3" customFormat="false" ht="15" hidden="false" customHeight="true" outlineLevel="0" collapsed="false">
      <c r="A3" s="20" t="s">
        <v>72</v>
      </c>
      <c r="B3" s="5"/>
      <c r="C3" s="21" t="n">
        <v>4</v>
      </c>
      <c r="D3" s="21" t="n">
        <v>4</v>
      </c>
      <c r="E3" s="21" t="n">
        <v>4</v>
      </c>
      <c r="F3" s="21" t="n">
        <v>4</v>
      </c>
      <c r="G3" s="21" t="n">
        <v>3</v>
      </c>
      <c r="H3" s="21" t="n">
        <v>5</v>
      </c>
      <c r="I3" s="21" t="n">
        <v>3</v>
      </c>
      <c r="J3" s="21" t="n">
        <v>4</v>
      </c>
      <c r="K3" s="21" t="n">
        <v>3</v>
      </c>
      <c r="L3" s="22" t="n">
        <f aca="false">SUM(C3:K3)</f>
        <v>34</v>
      </c>
      <c r="M3" s="21" t="n">
        <v>4</v>
      </c>
      <c r="N3" s="21" t="n">
        <v>4</v>
      </c>
      <c r="O3" s="21" t="n">
        <v>5</v>
      </c>
      <c r="P3" s="21" t="n">
        <v>5</v>
      </c>
      <c r="Q3" s="21" t="n">
        <v>4</v>
      </c>
      <c r="R3" s="21" t="n">
        <v>3</v>
      </c>
      <c r="S3" s="21" t="n">
        <v>4</v>
      </c>
      <c r="T3" s="21" t="n">
        <v>4</v>
      </c>
      <c r="U3" s="21" t="n">
        <v>4</v>
      </c>
      <c r="V3" s="22" t="n">
        <f aca="false">SUM(M3:U3)</f>
        <v>37</v>
      </c>
      <c r="W3" s="22" t="n">
        <f aca="false">L3+V3</f>
        <v>71</v>
      </c>
    </row>
    <row r="4" customFormat="false" ht="15" hidden="false" customHeight="true" outlineLevel="0" collapsed="false">
      <c r="A4" s="20" t="s">
        <v>73</v>
      </c>
      <c r="B4" s="5"/>
      <c r="C4" s="21" t="n">
        <v>10</v>
      </c>
      <c r="D4" s="21" t="n">
        <v>8</v>
      </c>
      <c r="E4" s="21" t="n">
        <v>16</v>
      </c>
      <c r="F4" s="21" t="n">
        <v>2</v>
      </c>
      <c r="G4" s="21" t="n">
        <v>18</v>
      </c>
      <c r="H4" s="21" t="n">
        <v>4</v>
      </c>
      <c r="I4" s="21" t="n">
        <v>14</v>
      </c>
      <c r="J4" s="21" t="n">
        <v>6</v>
      </c>
      <c r="K4" s="21" t="n">
        <v>12</v>
      </c>
      <c r="L4" s="5"/>
      <c r="M4" s="21" t="n">
        <v>11</v>
      </c>
      <c r="N4" s="21" t="n">
        <v>17</v>
      </c>
      <c r="O4" s="21" t="n">
        <v>1</v>
      </c>
      <c r="P4" s="21" t="n">
        <v>3</v>
      </c>
      <c r="Q4" s="21" t="n">
        <v>15</v>
      </c>
      <c r="R4" s="21" t="n">
        <v>7</v>
      </c>
      <c r="S4" s="21" t="n">
        <v>13</v>
      </c>
      <c r="T4" s="21" t="n">
        <v>5</v>
      </c>
      <c r="U4" s="21" t="n">
        <v>9</v>
      </c>
      <c r="V4" s="5"/>
      <c r="W4" s="5"/>
    </row>
    <row r="5" customFormat="false" ht="15" hidden="false" customHeight="true" outlineLevel="0" collapsed="false">
      <c r="A5" s="23" t="s">
        <v>74</v>
      </c>
      <c r="B5" s="24" t="n">
        <f aca="false">'Course Handicaps'!N4</f>
        <v>20</v>
      </c>
      <c r="C5" s="21"/>
      <c r="D5" s="21"/>
      <c r="E5" s="21"/>
      <c r="F5" s="21"/>
      <c r="G5" s="21"/>
      <c r="H5" s="21"/>
      <c r="I5" s="21"/>
      <c r="J5" s="21"/>
      <c r="K5" s="21"/>
      <c r="L5" s="22" t="str">
        <f aca="false">IF(COUNT(C5:K5)=0,"",SUM(C5:K5))</f>
        <v/>
      </c>
      <c r="M5" s="21"/>
      <c r="N5" s="21"/>
      <c r="O5" s="21"/>
      <c r="P5" s="21"/>
      <c r="Q5" s="21"/>
      <c r="R5" s="21"/>
      <c r="S5" s="21"/>
      <c r="T5" s="21"/>
      <c r="U5" s="21"/>
      <c r="V5" s="22" t="str">
        <f aca="false">IF(COUNT(M5:U5)=0,"",SUM(M5:U5))</f>
        <v/>
      </c>
      <c r="W5" s="22" t="str">
        <f aca="false">IF(AND(L5="",V5=""),"",SUM(L5,V5))</f>
        <v/>
      </c>
    </row>
    <row r="6" customFormat="false" ht="15" hidden="false" customHeight="true" outlineLevel="0" collapsed="false">
      <c r="A6" s="23" t="s">
        <v>75</v>
      </c>
      <c r="B6" s="5"/>
      <c r="C6" s="22" t="n">
        <f aca="false">IF($B5="","",FLOOR($B5/18,1)+IF(MOD($B5,18)&gt;=C$4,1,0))</f>
        <v>1</v>
      </c>
      <c r="D6" s="22" t="n">
        <f aca="false">IF($B5="","",FLOOR($B5/18,1)+IF(MOD($B5,18)&gt;=D$4,1,0))</f>
        <v>1</v>
      </c>
      <c r="E6" s="22" t="n">
        <f aca="false">IF($B5="","",FLOOR($B5/18,1)+IF(MOD($B5,18)&gt;=E$4,1,0))</f>
        <v>1</v>
      </c>
      <c r="F6" s="22" t="n">
        <f aca="false">IF($B5="","",FLOOR($B5/18,1)+IF(MOD($B5,18)&gt;=F$4,1,0))</f>
        <v>2</v>
      </c>
      <c r="G6" s="22" t="n">
        <f aca="false">IF($B5="","",FLOOR($B5/18,1)+IF(MOD($B5,18)&gt;=G$4,1,0))</f>
        <v>1</v>
      </c>
      <c r="H6" s="22" t="n">
        <f aca="false">IF($B5="","",FLOOR($B5/18,1)+IF(MOD($B5,18)&gt;=H$4,1,0))</f>
        <v>1</v>
      </c>
      <c r="I6" s="22" t="n">
        <f aca="false">IF($B5="","",FLOOR($B5/18,1)+IF(MOD($B5,18)&gt;=I$4,1,0))</f>
        <v>1</v>
      </c>
      <c r="J6" s="22" t="n">
        <f aca="false">IF($B5="","",FLOOR($B5/18,1)+IF(MOD($B5,18)&gt;=J$4,1,0))</f>
        <v>1</v>
      </c>
      <c r="K6" s="22" t="n">
        <f aca="false">IF($B5="","",FLOOR($B5/18,1)+IF(MOD($B5,18)&gt;=K$4,1,0))</f>
        <v>1</v>
      </c>
      <c r="L6" s="22" t="n">
        <f aca="false">IF(COUNT(C6:K6)=0,"",SUM(C6:K6))</f>
        <v>10</v>
      </c>
      <c r="M6" s="22" t="n">
        <f aca="false">IF($B5="","",FLOOR($B5/18,1)+IF(MOD($B5,18)&gt;=M$4,1,0))</f>
        <v>1</v>
      </c>
      <c r="N6" s="22" t="n">
        <f aca="false">IF($B5="","",FLOOR($B5/18,1)+IF(MOD($B5,18)&gt;=N$4,1,0))</f>
        <v>1</v>
      </c>
      <c r="O6" s="22" t="n">
        <f aca="false">IF($B5="","",FLOOR($B5/18,1)+IF(MOD($B5,18)&gt;=O$4,1,0))</f>
        <v>2</v>
      </c>
      <c r="P6" s="22" t="n">
        <f aca="false">IF($B5="","",FLOOR($B5/18,1)+IF(MOD($B5,18)&gt;=P$4,1,0))</f>
        <v>1</v>
      </c>
      <c r="Q6" s="22" t="n">
        <f aca="false">IF($B5="","",FLOOR($B5/18,1)+IF(MOD($B5,18)&gt;=Q$4,1,0))</f>
        <v>1</v>
      </c>
      <c r="R6" s="22" t="n">
        <f aca="false">IF($B5="","",FLOOR($B5/18,1)+IF(MOD($B5,18)&gt;=R$4,1,0))</f>
        <v>1</v>
      </c>
      <c r="S6" s="22" t="n">
        <f aca="false">IF($B5="","",FLOOR($B5/18,1)+IF(MOD($B5,18)&gt;=S$4,1,0))</f>
        <v>1</v>
      </c>
      <c r="T6" s="22" t="n">
        <f aca="false">IF($B5="","",FLOOR($B5/18,1)+IF(MOD($B5,18)&gt;=T$4,1,0))</f>
        <v>1</v>
      </c>
      <c r="U6" s="22" t="n">
        <f aca="false">IF($B5="","",FLOOR($B5/18,1)+IF(MOD($B5,18)&gt;=U$4,1,0))</f>
        <v>1</v>
      </c>
      <c r="V6" s="22" t="n">
        <f aca="false">IF(COUNT(M6:U6)=0,"",SUM(M6:U6))</f>
        <v>10</v>
      </c>
      <c r="W6" s="22" t="n">
        <f aca="false">IF(AND(L6="",V6=""),"",SUM(L6,V6))</f>
        <v>20</v>
      </c>
    </row>
    <row r="7" customFormat="false" ht="15" hidden="false" customHeight="true" outlineLevel="0" collapsed="false">
      <c r="A7" s="23" t="s">
        <v>76</v>
      </c>
      <c r="B7" s="5"/>
      <c r="C7" s="22" t="str">
        <f aca="false">IF(C5="","",MAX(0,2-((C5-C6)-C$3)))</f>
        <v/>
      </c>
      <c r="D7" s="22" t="str">
        <f aca="false">IF(D5="","",MAX(0,2-((D5-D6)-D$3)))</f>
        <v/>
      </c>
      <c r="E7" s="22" t="str">
        <f aca="false">IF(E5="","",MAX(0,2-((E5-E6)-E$3)))</f>
        <v/>
      </c>
      <c r="F7" s="22" t="str">
        <f aca="false">IF(F5="","",MAX(0,2-((F5-F6)-F$3)))</f>
        <v/>
      </c>
      <c r="G7" s="22" t="str">
        <f aca="false">IF(G5="","",MAX(0,2-((G5-G6)-G$3)))</f>
        <v/>
      </c>
      <c r="H7" s="22" t="str">
        <f aca="false">IF(H5="","",MAX(0,2-((H5-H6)-H$3)))</f>
        <v/>
      </c>
      <c r="I7" s="22" t="str">
        <f aca="false">IF(I5="","",MAX(0,2-((I5-I6)-I$3)))</f>
        <v/>
      </c>
      <c r="J7" s="22" t="str">
        <f aca="false">IF(J5="","",MAX(0,2-((J5-J6)-J$3)))</f>
        <v/>
      </c>
      <c r="K7" s="22" t="str">
        <f aca="false">IF(K5="","",MAX(0,2-((K5-K6)-K$3)))</f>
        <v/>
      </c>
      <c r="L7" s="22" t="n">
        <f aca="false">SUM(C7:K7)</f>
        <v>0</v>
      </c>
      <c r="M7" s="22" t="str">
        <f aca="false">IF(M5="","",MAX(0,2-((M5-M6)-M$3)))</f>
        <v/>
      </c>
      <c r="N7" s="22" t="str">
        <f aca="false">IF(N5="","",MAX(0,2-((N5-N6)-N$3)))</f>
        <v/>
      </c>
      <c r="O7" s="22" t="str">
        <f aca="false">IF(O5="","",MAX(0,2-((O5-O6)-O$3)))</f>
        <v/>
      </c>
      <c r="P7" s="22" t="str">
        <f aca="false">IF(P5="","",MAX(0,2-((P5-P6)-P$3)))</f>
        <v/>
      </c>
      <c r="Q7" s="22" t="str">
        <f aca="false">IF(Q5="","",MAX(0,2-((Q5-Q6)-Q$3)))</f>
        <v/>
      </c>
      <c r="R7" s="22" t="str">
        <f aca="false">IF(R5="","",MAX(0,2-((R5-R6)-R$3)))</f>
        <v/>
      </c>
      <c r="S7" s="22" t="str">
        <f aca="false">IF(S5="","",MAX(0,2-((S5-S6)-S$3)))</f>
        <v/>
      </c>
      <c r="T7" s="22" t="str">
        <f aca="false">IF(T5="","",MAX(0,2-((T5-T6)-T$3)))</f>
        <v/>
      </c>
      <c r="U7" s="22" t="str">
        <f aca="false">IF(U5="","",MAX(0,2-((U5-U6)-U$3)))</f>
        <v/>
      </c>
      <c r="V7" s="22" t="n">
        <f aca="false">SUM(M7:U7)</f>
        <v>0</v>
      </c>
      <c r="W7" s="22" t="n">
        <f aca="false">L7+V7</f>
        <v>0</v>
      </c>
    </row>
    <row r="8" customFormat="false" ht="15" hidden="false" customHeight="true" outlineLevel="0" collapsed="false">
      <c r="A8" s="23" t="s">
        <v>77</v>
      </c>
      <c r="B8" s="24" t="n">
        <f aca="false">'Course Handicaps'!N5</f>
        <v>20</v>
      </c>
      <c r="C8" s="21"/>
      <c r="D8" s="21"/>
      <c r="E8" s="21"/>
      <c r="F8" s="21"/>
      <c r="G8" s="21"/>
      <c r="H8" s="21"/>
      <c r="I8" s="21"/>
      <c r="J8" s="21"/>
      <c r="K8" s="21"/>
      <c r="L8" s="22" t="str">
        <f aca="false">IF(COUNT(C8:K8)=0,"",SUM(C8:K8))</f>
        <v/>
      </c>
      <c r="M8" s="21"/>
      <c r="N8" s="21"/>
      <c r="O8" s="21"/>
      <c r="P8" s="21"/>
      <c r="Q8" s="21"/>
      <c r="R8" s="21"/>
      <c r="S8" s="21"/>
      <c r="T8" s="21"/>
      <c r="U8" s="21"/>
      <c r="V8" s="22" t="str">
        <f aca="false">IF(COUNT(M8:U8)=0,"",SUM(M8:U8))</f>
        <v/>
      </c>
      <c r="W8" s="22" t="str">
        <f aca="false">IF(AND(L8="",V8=""),"",SUM(L8,V8))</f>
        <v/>
      </c>
    </row>
    <row r="9" customFormat="false" ht="15" hidden="false" customHeight="true" outlineLevel="0" collapsed="false">
      <c r="A9" s="23" t="s">
        <v>78</v>
      </c>
      <c r="B9" s="5"/>
      <c r="C9" s="22" t="n">
        <f aca="false">IF($B8="","",FLOOR($B8/18,1)+IF(MOD($B8,18)&gt;=C$4,1,0))</f>
        <v>1</v>
      </c>
      <c r="D9" s="22" t="n">
        <f aca="false">IF($B8="","",FLOOR($B8/18,1)+IF(MOD($B8,18)&gt;=D$4,1,0))</f>
        <v>1</v>
      </c>
      <c r="E9" s="22" t="n">
        <f aca="false">IF($B8="","",FLOOR($B8/18,1)+IF(MOD($B8,18)&gt;=E$4,1,0))</f>
        <v>1</v>
      </c>
      <c r="F9" s="22" t="n">
        <f aca="false">IF($B8="","",FLOOR($B8/18,1)+IF(MOD($B8,18)&gt;=F$4,1,0))</f>
        <v>2</v>
      </c>
      <c r="G9" s="22" t="n">
        <f aca="false">IF($B8="","",FLOOR($B8/18,1)+IF(MOD($B8,18)&gt;=G$4,1,0))</f>
        <v>1</v>
      </c>
      <c r="H9" s="22" t="n">
        <f aca="false">IF($B8="","",FLOOR($B8/18,1)+IF(MOD($B8,18)&gt;=H$4,1,0))</f>
        <v>1</v>
      </c>
      <c r="I9" s="22" t="n">
        <f aca="false">IF($B8="","",FLOOR($B8/18,1)+IF(MOD($B8,18)&gt;=I$4,1,0))</f>
        <v>1</v>
      </c>
      <c r="J9" s="22" t="n">
        <f aca="false">IF($B8="","",FLOOR($B8/18,1)+IF(MOD($B8,18)&gt;=J$4,1,0))</f>
        <v>1</v>
      </c>
      <c r="K9" s="22" t="n">
        <f aca="false">IF($B8="","",FLOOR($B8/18,1)+IF(MOD($B8,18)&gt;=K$4,1,0))</f>
        <v>1</v>
      </c>
      <c r="L9" s="22" t="n">
        <f aca="false">IF(COUNT(C9:K9)=0,"",SUM(C9:K9))</f>
        <v>10</v>
      </c>
      <c r="M9" s="22" t="n">
        <f aca="false">IF($B8="","",FLOOR($B8/18,1)+IF(MOD($B8,18)&gt;=M$4,1,0))</f>
        <v>1</v>
      </c>
      <c r="N9" s="22" t="n">
        <f aca="false">IF($B8="","",FLOOR($B8/18,1)+IF(MOD($B8,18)&gt;=N$4,1,0))</f>
        <v>1</v>
      </c>
      <c r="O9" s="22" t="n">
        <f aca="false">IF($B8="","",FLOOR($B8/18,1)+IF(MOD($B8,18)&gt;=O$4,1,0))</f>
        <v>2</v>
      </c>
      <c r="P9" s="22" t="n">
        <f aca="false">IF($B8="","",FLOOR($B8/18,1)+IF(MOD($B8,18)&gt;=P$4,1,0))</f>
        <v>1</v>
      </c>
      <c r="Q9" s="22" t="n">
        <f aca="false">IF($B8="","",FLOOR($B8/18,1)+IF(MOD($B8,18)&gt;=Q$4,1,0))</f>
        <v>1</v>
      </c>
      <c r="R9" s="22" t="n">
        <f aca="false">IF($B8="","",FLOOR($B8/18,1)+IF(MOD($B8,18)&gt;=R$4,1,0))</f>
        <v>1</v>
      </c>
      <c r="S9" s="22" t="n">
        <f aca="false">IF($B8="","",FLOOR($B8/18,1)+IF(MOD($B8,18)&gt;=S$4,1,0))</f>
        <v>1</v>
      </c>
      <c r="T9" s="22" t="n">
        <f aca="false">IF($B8="","",FLOOR($B8/18,1)+IF(MOD($B8,18)&gt;=T$4,1,0))</f>
        <v>1</v>
      </c>
      <c r="U9" s="22" t="n">
        <f aca="false">IF($B8="","",FLOOR($B8/18,1)+IF(MOD($B8,18)&gt;=U$4,1,0))</f>
        <v>1</v>
      </c>
      <c r="V9" s="22" t="n">
        <f aca="false">IF(COUNT(M9:U9)=0,"",SUM(M9:U9))</f>
        <v>10</v>
      </c>
      <c r="W9" s="22" t="n">
        <f aca="false">IF(AND(L9="",V9=""),"",SUM(L9,V9))</f>
        <v>20</v>
      </c>
    </row>
    <row r="10" customFormat="false" ht="15" hidden="false" customHeight="true" outlineLevel="0" collapsed="false">
      <c r="A10" s="23" t="s">
        <v>79</v>
      </c>
      <c r="B10" s="5"/>
      <c r="C10" s="22" t="str">
        <f aca="false">IF(C8="","",MAX(0,2-((C8-C9)-C$3)))</f>
        <v/>
      </c>
      <c r="D10" s="22" t="str">
        <f aca="false">IF(D8="","",MAX(0,2-((D8-D9)-D$3)))</f>
        <v/>
      </c>
      <c r="E10" s="22" t="str">
        <f aca="false">IF(E8="","",MAX(0,2-((E8-E9)-E$3)))</f>
        <v/>
      </c>
      <c r="F10" s="22" t="str">
        <f aca="false">IF(F8="","",MAX(0,2-((F8-F9)-F$3)))</f>
        <v/>
      </c>
      <c r="G10" s="22" t="str">
        <f aca="false">IF(G8="","",MAX(0,2-((G8-G9)-G$3)))</f>
        <v/>
      </c>
      <c r="H10" s="22" t="str">
        <f aca="false">IF(H8="","",MAX(0,2-((H8-H9)-H$3)))</f>
        <v/>
      </c>
      <c r="I10" s="22" t="str">
        <f aca="false">IF(I8="","",MAX(0,2-((I8-I9)-I$3)))</f>
        <v/>
      </c>
      <c r="J10" s="22" t="str">
        <f aca="false">IF(J8="","",MAX(0,2-((J8-J9)-J$3)))</f>
        <v/>
      </c>
      <c r="K10" s="22" t="str">
        <f aca="false">IF(K8="","",MAX(0,2-((K8-K9)-K$3)))</f>
        <v/>
      </c>
      <c r="L10" s="22" t="n">
        <f aca="false">SUM(C10:K10)</f>
        <v>0</v>
      </c>
      <c r="M10" s="22" t="str">
        <f aca="false">IF(M8="","",MAX(0,2-((M8-M9)-M$3)))</f>
        <v/>
      </c>
      <c r="N10" s="22" t="str">
        <f aca="false">IF(N8="","",MAX(0,2-((N8-N9)-N$3)))</f>
        <v/>
      </c>
      <c r="O10" s="22" t="str">
        <f aca="false">IF(O8="","",MAX(0,2-((O8-O9)-O$3)))</f>
        <v/>
      </c>
      <c r="P10" s="22" t="str">
        <f aca="false">IF(P8="","",MAX(0,2-((P8-P9)-P$3)))</f>
        <v/>
      </c>
      <c r="Q10" s="22" t="str">
        <f aca="false">IF(Q8="","",MAX(0,2-((Q8-Q9)-Q$3)))</f>
        <v/>
      </c>
      <c r="R10" s="22" t="str">
        <f aca="false">IF(R8="","",MAX(0,2-((R8-R9)-R$3)))</f>
        <v/>
      </c>
      <c r="S10" s="22" t="str">
        <f aca="false">IF(S8="","",MAX(0,2-((S8-S9)-S$3)))</f>
        <v/>
      </c>
      <c r="T10" s="22" t="str">
        <f aca="false">IF(T8="","",MAX(0,2-((T8-T9)-T$3)))</f>
        <v/>
      </c>
      <c r="U10" s="22" t="str">
        <f aca="false">IF(U8="","",MAX(0,2-((U8-U9)-U$3)))</f>
        <v/>
      </c>
      <c r="V10" s="22" t="n">
        <f aca="false">SUM(M10:U10)</f>
        <v>0</v>
      </c>
      <c r="W10" s="22" t="n">
        <f aca="false">L10+V10</f>
        <v>0</v>
      </c>
    </row>
    <row r="11" customFormat="false" ht="15" hidden="false" customHeight="true" outlineLevel="0" collapsed="false">
      <c r="A11" s="23" t="s">
        <v>80</v>
      </c>
      <c r="B11" s="24" t="n">
        <f aca="false">'Course Handicaps'!N6</f>
        <v>13</v>
      </c>
      <c r="C11" s="21"/>
      <c r="D11" s="21"/>
      <c r="E11" s="21"/>
      <c r="F11" s="21"/>
      <c r="G11" s="21"/>
      <c r="H11" s="21"/>
      <c r="I11" s="21"/>
      <c r="J11" s="21"/>
      <c r="K11" s="21"/>
      <c r="L11" s="22" t="str">
        <f aca="false">IF(COUNT(C11:K11)=0,"",SUM(C11:K11))</f>
        <v/>
      </c>
      <c r="M11" s="21"/>
      <c r="N11" s="21"/>
      <c r="O11" s="21"/>
      <c r="P11" s="21"/>
      <c r="Q11" s="21"/>
      <c r="R11" s="21"/>
      <c r="S11" s="21"/>
      <c r="T11" s="21"/>
      <c r="U11" s="21"/>
      <c r="V11" s="22" t="str">
        <f aca="false">IF(COUNT(M11:U11)=0,"",SUM(M11:U11))</f>
        <v/>
      </c>
      <c r="W11" s="22" t="str">
        <f aca="false">IF(AND(L11="",V11=""),"",SUM(L11,V11))</f>
        <v/>
      </c>
    </row>
    <row r="12" customFormat="false" ht="15" hidden="false" customHeight="true" outlineLevel="0" collapsed="false">
      <c r="A12" s="23" t="s">
        <v>81</v>
      </c>
      <c r="B12" s="5"/>
      <c r="C12" s="22" t="n">
        <f aca="false">IF($B11="","",FLOOR($B11/18,1)+IF(MOD($B11,18)&gt;=C$4,1,0))</f>
        <v>1</v>
      </c>
      <c r="D12" s="22" t="n">
        <f aca="false">IF($B11="","",FLOOR($B11/18,1)+IF(MOD($B11,18)&gt;=D$4,1,0))</f>
        <v>1</v>
      </c>
      <c r="E12" s="22" t="n">
        <f aca="false">IF($B11="","",FLOOR($B11/18,1)+IF(MOD($B11,18)&gt;=E$4,1,0))</f>
        <v>0</v>
      </c>
      <c r="F12" s="22" t="n">
        <f aca="false">IF($B11="","",FLOOR($B11/18,1)+IF(MOD($B11,18)&gt;=F$4,1,0))</f>
        <v>1</v>
      </c>
      <c r="G12" s="22" t="n">
        <f aca="false">IF($B11="","",FLOOR($B11/18,1)+IF(MOD($B11,18)&gt;=G$4,1,0))</f>
        <v>0</v>
      </c>
      <c r="H12" s="22" t="n">
        <f aca="false">IF($B11="","",FLOOR($B11/18,1)+IF(MOD($B11,18)&gt;=H$4,1,0))</f>
        <v>1</v>
      </c>
      <c r="I12" s="22" t="n">
        <f aca="false">IF($B11="","",FLOOR($B11/18,1)+IF(MOD($B11,18)&gt;=I$4,1,0))</f>
        <v>0</v>
      </c>
      <c r="J12" s="22" t="n">
        <f aca="false">IF($B11="","",FLOOR($B11/18,1)+IF(MOD($B11,18)&gt;=J$4,1,0))</f>
        <v>1</v>
      </c>
      <c r="K12" s="22" t="n">
        <f aca="false">IF($B11="","",FLOOR($B11/18,1)+IF(MOD($B11,18)&gt;=K$4,1,0))</f>
        <v>1</v>
      </c>
      <c r="L12" s="22" t="n">
        <f aca="false">IF(COUNT(C12:K12)=0,"",SUM(C12:K12))</f>
        <v>6</v>
      </c>
      <c r="M12" s="22" t="n">
        <f aca="false">IF($B11="","",FLOOR($B11/18,1)+IF(MOD($B11,18)&gt;=M$4,1,0))</f>
        <v>1</v>
      </c>
      <c r="N12" s="22" t="n">
        <f aca="false">IF($B11="","",FLOOR($B11/18,1)+IF(MOD($B11,18)&gt;=N$4,1,0))</f>
        <v>0</v>
      </c>
      <c r="O12" s="22" t="n">
        <f aca="false">IF($B11="","",FLOOR($B11/18,1)+IF(MOD($B11,18)&gt;=O$4,1,0))</f>
        <v>1</v>
      </c>
      <c r="P12" s="22" t="n">
        <f aca="false">IF($B11="","",FLOOR($B11/18,1)+IF(MOD($B11,18)&gt;=P$4,1,0))</f>
        <v>1</v>
      </c>
      <c r="Q12" s="22" t="n">
        <f aca="false">IF($B11="","",FLOOR($B11/18,1)+IF(MOD($B11,18)&gt;=Q$4,1,0))</f>
        <v>0</v>
      </c>
      <c r="R12" s="22" t="n">
        <f aca="false">IF($B11="","",FLOOR($B11/18,1)+IF(MOD($B11,18)&gt;=R$4,1,0))</f>
        <v>1</v>
      </c>
      <c r="S12" s="22" t="n">
        <f aca="false">IF($B11="","",FLOOR($B11/18,1)+IF(MOD($B11,18)&gt;=S$4,1,0))</f>
        <v>1</v>
      </c>
      <c r="T12" s="22" t="n">
        <f aca="false">IF($B11="","",FLOOR($B11/18,1)+IF(MOD($B11,18)&gt;=T$4,1,0))</f>
        <v>1</v>
      </c>
      <c r="U12" s="22" t="n">
        <f aca="false">IF($B11="","",FLOOR($B11/18,1)+IF(MOD($B11,18)&gt;=U$4,1,0))</f>
        <v>1</v>
      </c>
      <c r="V12" s="22" t="n">
        <f aca="false">IF(COUNT(M12:U12)=0,"",SUM(M12:U12))</f>
        <v>7</v>
      </c>
      <c r="W12" s="22" t="n">
        <f aca="false">IF(AND(L12="",V12=""),"",SUM(L12,V12))</f>
        <v>13</v>
      </c>
    </row>
    <row r="13" customFormat="false" ht="15" hidden="false" customHeight="true" outlineLevel="0" collapsed="false">
      <c r="A13" s="23" t="s">
        <v>82</v>
      </c>
      <c r="B13" s="5"/>
      <c r="C13" s="22" t="str">
        <f aca="false">IF(C11="","",MAX(0,2-((C11-C12)-C$3)))</f>
        <v/>
      </c>
      <c r="D13" s="22" t="str">
        <f aca="false">IF(D11="","",MAX(0,2-((D11-D12)-D$3)))</f>
        <v/>
      </c>
      <c r="E13" s="22" t="str">
        <f aca="false">IF(E11="","",MAX(0,2-((E11-E12)-E$3)))</f>
        <v/>
      </c>
      <c r="F13" s="22" t="str">
        <f aca="false">IF(F11="","",MAX(0,2-((F11-F12)-F$3)))</f>
        <v/>
      </c>
      <c r="G13" s="22" t="str">
        <f aca="false">IF(G11="","",MAX(0,2-((G11-G12)-G$3)))</f>
        <v/>
      </c>
      <c r="H13" s="22" t="str">
        <f aca="false">IF(H11="","",MAX(0,2-((H11-H12)-H$3)))</f>
        <v/>
      </c>
      <c r="I13" s="22" t="str">
        <f aca="false">IF(I11="","",MAX(0,2-((I11-I12)-I$3)))</f>
        <v/>
      </c>
      <c r="J13" s="22" t="str">
        <f aca="false">IF(J11="","",MAX(0,2-((J11-J12)-J$3)))</f>
        <v/>
      </c>
      <c r="K13" s="22" t="str">
        <f aca="false">IF(K11="","",MAX(0,2-((K11-K12)-K$3)))</f>
        <v/>
      </c>
      <c r="L13" s="22" t="n">
        <f aca="false">SUM(C13:K13)</f>
        <v>0</v>
      </c>
      <c r="M13" s="22" t="str">
        <f aca="false">IF(M11="","",MAX(0,2-((M11-M12)-M$3)))</f>
        <v/>
      </c>
      <c r="N13" s="22" t="str">
        <f aca="false">IF(N11="","",MAX(0,2-((N11-N12)-N$3)))</f>
        <v/>
      </c>
      <c r="O13" s="22" t="str">
        <f aca="false">IF(O11="","",MAX(0,2-((O11-O12)-O$3)))</f>
        <v/>
      </c>
      <c r="P13" s="22" t="str">
        <f aca="false">IF(P11="","",MAX(0,2-((P11-P12)-P$3)))</f>
        <v/>
      </c>
      <c r="Q13" s="22" t="str">
        <f aca="false">IF(Q11="","",MAX(0,2-((Q11-Q12)-Q$3)))</f>
        <v/>
      </c>
      <c r="R13" s="22" t="str">
        <f aca="false">IF(R11="","",MAX(0,2-((R11-R12)-R$3)))</f>
        <v/>
      </c>
      <c r="S13" s="22" t="str">
        <f aca="false">IF(S11="","",MAX(0,2-((S11-S12)-S$3)))</f>
        <v/>
      </c>
      <c r="T13" s="22" t="str">
        <f aca="false">IF(T11="","",MAX(0,2-((T11-T12)-T$3)))</f>
        <v/>
      </c>
      <c r="U13" s="22" t="str">
        <f aca="false">IF(U11="","",MAX(0,2-((U11-U12)-U$3)))</f>
        <v/>
      </c>
      <c r="V13" s="22" t="n">
        <f aca="false">SUM(M13:U13)</f>
        <v>0</v>
      </c>
      <c r="W13" s="22" t="n">
        <f aca="false">L13+V13</f>
        <v>0</v>
      </c>
    </row>
    <row r="14" customFormat="false" ht="15" hidden="false" customHeight="true" outlineLevel="0" collapsed="false">
      <c r="A14" s="23" t="s">
        <v>83</v>
      </c>
      <c r="B14" s="24" t="n">
        <f aca="false">'Course Handicaps'!N7</f>
        <v>25</v>
      </c>
      <c r="C14" s="21"/>
      <c r="D14" s="21"/>
      <c r="E14" s="21"/>
      <c r="F14" s="21"/>
      <c r="G14" s="21"/>
      <c r="H14" s="21"/>
      <c r="I14" s="21"/>
      <c r="J14" s="21"/>
      <c r="K14" s="21"/>
      <c r="L14" s="22" t="str">
        <f aca="false">IF(COUNT(C14:K14)=0,"",SUM(C14:K14))</f>
        <v/>
      </c>
      <c r="M14" s="21"/>
      <c r="N14" s="21"/>
      <c r="O14" s="21"/>
      <c r="P14" s="21"/>
      <c r="Q14" s="21"/>
      <c r="R14" s="21"/>
      <c r="S14" s="21"/>
      <c r="T14" s="21"/>
      <c r="U14" s="21"/>
      <c r="V14" s="22" t="str">
        <f aca="false">IF(COUNT(M14:U14)=0,"",SUM(M14:U14))</f>
        <v/>
      </c>
      <c r="W14" s="22" t="str">
        <f aca="false">IF(AND(L14="",V14=""),"",SUM(L14,V14))</f>
        <v/>
      </c>
    </row>
    <row r="15" customFormat="false" ht="15" hidden="false" customHeight="true" outlineLevel="0" collapsed="false">
      <c r="A15" s="23" t="s">
        <v>84</v>
      </c>
      <c r="B15" s="5"/>
      <c r="C15" s="22" t="n">
        <f aca="false">IF($B14="","",FLOOR($B14/18,1)+IF(MOD($B14,18)&gt;=C$4,1,0))</f>
        <v>1</v>
      </c>
      <c r="D15" s="22" t="n">
        <f aca="false">IF($B14="","",FLOOR($B14/18,1)+IF(MOD($B14,18)&gt;=D$4,1,0))</f>
        <v>1</v>
      </c>
      <c r="E15" s="22" t="n">
        <f aca="false">IF($B14="","",FLOOR($B14/18,1)+IF(MOD($B14,18)&gt;=E$4,1,0))</f>
        <v>1</v>
      </c>
      <c r="F15" s="22" t="n">
        <f aca="false">IF($B14="","",FLOOR($B14/18,1)+IF(MOD($B14,18)&gt;=F$4,1,0))</f>
        <v>2</v>
      </c>
      <c r="G15" s="22" t="n">
        <f aca="false">IF($B14="","",FLOOR($B14/18,1)+IF(MOD($B14,18)&gt;=G$4,1,0))</f>
        <v>1</v>
      </c>
      <c r="H15" s="22" t="n">
        <f aca="false">IF($B14="","",FLOOR($B14/18,1)+IF(MOD($B14,18)&gt;=H$4,1,0))</f>
        <v>2</v>
      </c>
      <c r="I15" s="22" t="n">
        <f aca="false">IF($B14="","",FLOOR($B14/18,1)+IF(MOD($B14,18)&gt;=I$4,1,0))</f>
        <v>1</v>
      </c>
      <c r="J15" s="22" t="n">
        <f aca="false">IF($B14="","",FLOOR($B14/18,1)+IF(MOD($B14,18)&gt;=J$4,1,0))</f>
        <v>2</v>
      </c>
      <c r="K15" s="22" t="n">
        <f aca="false">IF($B14="","",FLOOR($B14/18,1)+IF(MOD($B14,18)&gt;=K$4,1,0))</f>
        <v>1</v>
      </c>
      <c r="L15" s="22" t="n">
        <f aca="false">IF(COUNT(C15:K15)=0,"",SUM(C15:K15))</f>
        <v>12</v>
      </c>
      <c r="M15" s="22" t="n">
        <f aca="false">IF($B14="","",FLOOR($B14/18,1)+IF(MOD($B14,18)&gt;=M$4,1,0))</f>
        <v>1</v>
      </c>
      <c r="N15" s="22" t="n">
        <f aca="false">IF($B14="","",FLOOR($B14/18,1)+IF(MOD($B14,18)&gt;=N$4,1,0))</f>
        <v>1</v>
      </c>
      <c r="O15" s="22" t="n">
        <f aca="false">IF($B14="","",FLOOR($B14/18,1)+IF(MOD($B14,18)&gt;=O$4,1,0))</f>
        <v>2</v>
      </c>
      <c r="P15" s="22" t="n">
        <f aca="false">IF($B14="","",FLOOR($B14/18,1)+IF(MOD($B14,18)&gt;=P$4,1,0))</f>
        <v>2</v>
      </c>
      <c r="Q15" s="22" t="n">
        <f aca="false">IF($B14="","",FLOOR($B14/18,1)+IF(MOD($B14,18)&gt;=Q$4,1,0))</f>
        <v>1</v>
      </c>
      <c r="R15" s="22" t="n">
        <f aca="false">IF($B14="","",FLOOR($B14/18,1)+IF(MOD($B14,18)&gt;=R$4,1,0))</f>
        <v>2</v>
      </c>
      <c r="S15" s="22" t="n">
        <f aca="false">IF($B14="","",FLOOR($B14/18,1)+IF(MOD($B14,18)&gt;=S$4,1,0))</f>
        <v>1</v>
      </c>
      <c r="T15" s="22" t="n">
        <f aca="false">IF($B14="","",FLOOR($B14/18,1)+IF(MOD($B14,18)&gt;=T$4,1,0))</f>
        <v>2</v>
      </c>
      <c r="U15" s="22" t="n">
        <f aca="false">IF($B14="","",FLOOR($B14/18,1)+IF(MOD($B14,18)&gt;=U$4,1,0))</f>
        <v>1</v>
      </c>
      <c r="V15" s="22" t="n">
        <f aca="false">IF(COUNT(M15:U15)=0,"",SUM(M15:U15))</f>
        <v>13</v>
      </c>
      <c r="W15" s="22" t="n">
        <f aca="false">IF(AND(L15="",V15=""),"",SUM(L15,V15))</f>
        <v>25</v>
      </c>
    </row>
    <row r="16" customFormat="false" ht="15" hidden="false" customHeight="true" outlineLevel="0" collapsed="false">
      <c r="A16" s="23" t="s">
        <v>85</v>
      </c>
      <c r="B16" s="5"/>
      <c r="C16" s="22" t="str">
        <f aca="false">IF(C14="","",MAX(0,2-((C14-C15)-C$3)))</f>
        <v/>
      </c>
      <c r="D16" s="22" t="str">
        <f aca="false">IF(D14="","",MAX(0,2-((D14-D15)-D$3)))</f>
        <v/>
      </c>
      <c r="E16" s="22" t="str">
        <f aca="false">IF(E14="","",MAX(0,2-((E14-E15)-E$3)))</f>
        <v/>
      </c>
      <c r="F16" s="22" t="str">
        <f aca="false">IF(F14="","",MAX(0,2-((F14-F15)-F$3)))</f>
        <v/>
      </c>
      <c r="G16" s="22" t="str">
        <f aca="false">IF(G14="","",MAX(0,2-((G14-G15)-G$3)))</f>
        <v/>
      </c>
      <c r="H16" s="22" t="str">
        <f aca="false">IF(H14="","",MAX(0,2-((H14-H15)-H$3)))</f>
        <v/>
      </c>
      <c r="I16" s="22" t="str">
        <f aca="false">IF(I14="","",MAX(0,2-((I14-I15)-I$3)))</f>
        <v/>
      </c>
      <c r="J16" s="22" t="str">
        <f aca="false">IF(J14="","",MAX(0,2-((J14-J15)-J$3)))</f>
        <v/>
      </c>
      <c r="K16" s="22" t="str">
        <f aca="false">IF(K14="","",MAX(0,2-((K14-K15)-K$3)))</f>
        <v/>
      </c>
      <c r="L16" s="22" t="n">
        <f aca="false">SUM(C16:K16)</f>
        <v>0</v>
      </c>
      <c r="M16" s="22" t="str">
        <f aca="false">IF(M14="","",MAX(0,2-((M14-M15)-M$3)))</f>
        <v/>
      </c>
      <c r="N16" s="22" t="str">
        <f aca="false">IF(N14="","",MAX(0,2-((N14-N15)-N$3)))</f>
        <v/>
      </c>
      <c r="O16" s="22" t="str">
        <f aca="false">IF(O14="","",MAX(0,2-((O14-O15)-O$3)))</f>
        <v/>
      </c>
      <c r="P16" s="22" t="str">
        <f aca="false">IF(P14="","",MAX(0,2-((P14-P15)-P$3)))</f>
        <v/>
      </c>
      <c r="Q16" s="22" t="str">
        <f aca="false">IF(Q14="","",MAX(0,2-((Q14-Q15)-Q$3)))</f>
        <v/>
      </c>
      <c r="R16" s="22" t="str">
        <f aca="false">IF(R14="","",MAX(0,2-((R14-R15)-R$3)))</f>
        <v/>
      </c>
      <c r="S16" s="22" t="str">
        <f aca="false">IF(S14="","",MAX(0,2-((S14-S15)-S$3)))</f>
        <v/>
      </c>
      <c r="T16" s="22" t="str">
        <f aca="false">IF(T14="","",MAX(0,2-((T14-T15)-T$3)))</f>
        <v/>
      </c>
      <c r="U16" s="22" t="str">
        <f aca="false">IF(U14="","",MAX(0,2-((U14-U15)-U$3)))</f>
        <v/>
      </c>
      <c r="V16" s="22" t="n">
        <f aca="false">SUM(M16:U16)</f>
        <v>0</v>
      </c>
      <c r="W16" s="22" t="n">
        <f aca="false">L16+V16</f>
        <v>0</v>
      </c>
    </row>
    <row r="17" customFormat="false" ht="15" hidden="false" customHeight="true" outlineLevel="0" collapsed="false">
      <c r="A17" s="23" t="s">
        <v>86</v>
      </c>
      <c r="B17" s="24" t="n">
        <f aca="false">'Course Handicaps'!N8</f>
        <v>28</v>
      </c>
      <c r="C17" s="21"/>
      <c r="D17" s="21"/>
      <c r="E17" s="21"/>
      <c r="F17" s="21"/>
      <c r="G17" s="21"/>
      <c r="H17" s="21"/>
      <c r="I17" s="21"/>
      <c r="J17" s="21"/>
      <c r="K17" s="21"/>
      <c r="L17" s="22" t="str">
        <f aca="false">IF(COUNT(C17:K17)=0,"",SUM(C17:K17))</f>
        <v/>
      </c>
      <c r="M17" s="21"/>
      <c r="N17" s="21"/>
      <c r="O17" s="21"/>
      <c r="P17" s="21"/>
      <c r="Q17" s="21"/>
      <c r="R17" s="21"/>
      <c r="S17" s="21"/>
      <c r="T17" s="21"/>
      <c r="U17" s="21"/>
      <c r="V17" s="22" t="str">
        <f aca="false">IF(COUNT(M17:U17)=0,"",SUM(M17:U17))</f>
        <v/>
      </c>
      <c r="W17" s="22" t="str">
        <f aca="false">IF(AND(L17="",V17=""),"",SUM(L17,V17))</f>
        <v/>
      </c>
    </row>
    <row r="18" customFormat="false" ht="15" hidden="false" customHeight="true" outlineLevel="0" collapsed="false">
      <c r="A18" s="23" t="s">
        <v>87</v>
      </c>
      <c r="B18" s="5"/>
      <c r="C18" s="22" t="n">
        <f aca="false">IF($B17="","",FLOOR($B17/18,1)+IF(MOD($B17,18)&gt;=C$4,1,0))</f>
        <v>2</v>
      </c>
      <c r="D18" s="22" t="n">
        <f aca="false">IF($B17="","",FLOOR($B17/18,1)+IF(MOD($B17,18)&gt;=D$4,1,0))</f>
        <v>2</v>
      </c>
      <c r="E18" s="22" t="n">
        <f aca="false">IF($B17="","",FLOOR($B17/18,1)+IF(MOD($B17,18)&gt;=E$4,1,0))</f>
        <v>1</v>
      </c>
      <c r="F18" s="22" t="n">
        <f aca="false">IF($B17="","",FLOOR($B17/18,1)+IF(MOD($B17,18)&gt;=F$4,1,0))</f>
        <v>2</v>
      </c>
      <c r="G18" s="22" t="n">
        <f aca="false">IF($B17="","",FLOOR($B17/18,1)+IF(MOD($B17,18)&gt;=G$4,1,0))</f>
        <v>1</v>
      </c>
      <c r="H18" s="22" t="n">
        <f aca="false">IF($B17="","",FLOOR($B17/18,1)+IF(MOD($B17,18)&gt;=H$4,1,0))</f>
        <v>2</v>
      </c>
      <c r="I18" s="22" t="n">
        <f aca="false">IF($B17="","",FLOOR($B17/18,1)+IF(MOD($B17,18)&gt;=I$4,1,0))</f>
        <v>1</v>
      </c>
      <c r="J18" s="22" t="n">
        <f aca="false">IF($B17="","",FLOOR($B17/18,1)+IF(MOD($B17,18)&gt;=J$4,1,0))</f>
        <v>2</v>
      </c>
      <c r="K18" s="22" t="n">
        <f aca="false">IF($B17="","",FLOOR($B17/18,1)+IF(MOD($B17,18)&gt;=K$4,1,0))</f>
        <v>1</v>
      </c>
      <c r="L18" s="22" t="n">
        <f aca="false">IF(COUNT(C18:K18)=0,"",SUM(C18:K18))</f>
        <v>14</v>
      </c>
      <c r="M18" s="22" t="n">
        <f aca="false">IF($B17="","",FLOOR($B17/18,1)+IF(MOD($B17,18)&gt;=M$4,1,0))</f>
        <v>1</v>
      </c>
      <c r="N18" s="22" t="n">
        <f aca="false">IF($B17="","",FLOOR($B17/18,1)+IF(MOD($B17,18)&gt;=N$4,1,0))</f>
        <v>1</v>
      </c>
      <c r="O18" s="22" t="n">
        <f aca="false">IF($B17="","",FLOOR($B17/18,1)+IF(MOD($B17,18)&gt;=O$4,1,0))</f>
        <v>2</v>
      </c>
      <c r="P18" s="22" t="n">
        <f aca="false">IF($B17="","",FLOOR($B17/18,1)+IF(MOD($B17,18)&gt;=P$4,1,0))</f>
        <v>2</v>
      </c>
      <c r="Q18" s="22" t="n">
        <f aca="false">IF($B17="","",FLOOR($B17/18,1)+IF(MOD($B17,18)&gt;=Q$4,1,0))</f>
        <v>1</v>
      </c>
      <c r="R18" s="22" t="n">
        <f aca="false">IF($B17="","",FLOOR($B17/18,1)+IF(MOD($B17,18)&gt;=R$4,1,0))</f>
        <v>2</v>
      </c>
      <c r="S18" s="22" t="n">
        <f aca="false">IF($B17="","",FLOOR($B17/18,1)+IF(MOD($B17,18)&gt;=S$4,1,0))</f>
        <v>1</v>
      </c>
      <c r="T18" s="22" t="n">
        <f aca="false">IF($B17="","",FLOOR($B17/18,1)+IF(MOD($B17,18)&gt;=T$4,1,0))</f>
        <v>2</v>
      </c>
      <c r="U18" s="22" t="n">
        <f aca="false">IF($B17="","",FLOOR($B17/18,1)+IF(MOD($B17,18)&gt;=U$4,1,0))</f>
        <v>2</v>
      </c>
      <c r="V18" s="22" t="n">
        <f aca="false">IF(COUNT(M18:U18)=0,"",SUM(M18:U18))</f>
        <v>14</v>
      </c>
      <c r="W18" s="22" t="n">
        <f aca="false">IF(AND(L18="",V18=""),"",SUM(L18,V18))</f>
        <v>28</v>
      </c>
    </row>
    <row r="19" customFormat="false" ht="15" hidden="false" customHeight="true" outlineLevel="0" collapsed="false">
      <c r="A19" s="23" t="s">
        <v>88</v>
      </c>
      <c r="B19" s="5"/>
      <c r="C19" s="22" t="str">
        <f aca="false">IF(C17="","",MAX(0,2-((C17-C18)-C$3)))</f>
        <v/>
      </c>
      <c r="D19" s="22" t="str">
        <f aca="false">IF(D17="","",MAX(0,2-((D17-D18)-D$3)))</f>
        <v/>
      </c>
      <c r="E19" s="22" t="str">
        <f aca="false">IF(E17="","",MAX(0,2-((E17-E18)-E$3)))</f>
        <v/>
      </c>
      <c r="F19" s="22" t="str">
        <f aca="false">IF(F17="","",MAX(0,2-((F17-F18)-F$3)))</f>
        <v/>
      </c>
      <c r="G19" s="22" t="str">
        <f aca="false">IF(G17="","",MAX(0,2-((G17-G18)-G$3)))</f>
        <v/>
      </c>
      <c r="H19" s="22" t="str">
        <f aca="false">IF(H17="","",MAX(0,2-((H17-H18)-H$3)))</f>
        <v/>
      </c>
      <c r="I19" s="22" t="str">
        <f aca="false">IF(I17="","",MAX(0,2-((I17-I18)-I$3)))</f>
        <v/>
      </c>
      <c r="J19" s="22" t="str">
        <f aca="false">IF(J17="","",MAX(0,2-((J17-J18)-J$3)))</f>
        <v/>
      </c>
      <c r="K19" s="22" t="str">
        <f aca="false">IF(K17="","",MAX(0,2-((K17-K18)-K$3)))</f>
        <v/>
      </c>
      <c r="L19" s="22" t="n">
        <f aca="false">SUM(C19:K19)</f>
        <v>0</v>
      </c>
      <c r="M19" s="22" t="str">
        <f aca="false">IF(M17="","",MAX(0,2-((M17-M18)-M$3)))</f>
        <v/>
      </c>
      <c r="N19" s="22" t="str">
        <f aca="false">IF(N17="","",MAX(0,2-((N17-N18)-N$3)))</f>
        <v/>
      </c>
      <c r="O19" s="22" t="str">
        <f aca="false">IF(O17="","",MAX(0,2-((O17-O18)-O$3)))</f>
        <v/>
      </c>
      <c r="P19" s="22" t="str">
        <f aca="false">IF(P17="","",MAX(0,2-((P17-P18)-P$3)))</f>
        <v/>
      </c>
      <c r="Q19" s="22" t="str">
        <f aca="false">IF(Q17="","",MAX(0,2-((Q17-Q18)-Q$3)))</f>
        <v/>
      </c>
      <c r="R19" s="22" t="str">
        <f aca="false">IF(R17="","",MAX(0,2-((R17-R18)-R$3)))</f>
        <v/>
      </c>
      <c r="S19" s="22" t="str">
        <f aca="false">IF(S17="","",MAX(0,2-((S17-S18)-S$3)))</f>
        <v/>
      </c>
      <c r="T19" s="22" t="str">
        <f aca="false">IF(T17="","",MAX(0,2-((T17-T18)-T$3)))</f>
        <v/>
      </c>
      <c r="U19" s="22" t="str">
        <f aca="false">IF(U17="","",MAX(0,2-((U17-U18)-U$3)))</f>
        <v/>
      </c>
      <c r="V19" s="22" t="n">
        <f aca="false">SUM(M19:U19)</f>
        <v>0</v>
      </c>
      <c r="W19" s="22" t="n">
        <f aca="false">L19+V19</f>
        <v>0</v>
      </c>
    </row>
    <row r="20" customFormat="false" ht="15" hidden="false" customHeight="true" outlineLevel="0" collapsed="false">
      <c r="A20" s="23" t="s">
        <v>89</v>
      </c>
      <c r="B20" s="24" t="n">
        <f aca="false">'Course Handicaps'!N9</f>
        <v>20</v>
      </c>
      <c r="C20" s="21"/>
      <c r="D20" s="21"/>
      <c r="E20" s="21"/>
      <c r="F20" s="21"/>
      <c r="G20" s="21"/>
      <c r="H20" s="21"/>
      <c r="I20" s="21"/>
      <c r="J20" s="21"/>
      <c r="K20" s="21"/>
      <c r="L20" s="22" t="str">
        <f aca="false">IF(COUNT(C20:K20)=0,"",SUM(C20:K20))</f>
        <v/>
      </c>
      <c r="M20" s="21"/>
      <c r="N20" s="21"/>
      <c r="O20" s="21"/>
      <c r="P20" s="21"/>
      <c r="Q20" s="21"/>
      <c r="R20" s="21"/>
      <c r="S20" s="21"/>
      <c r="T20" s="21"/>
      <c r="U20" s="21"/>
      <c r="V20" s="22" t="str">
        <f aca="false">IF(COUNT(M20:U20)=0,"",SUM(M20:U20))</f>
        <v/>
      </c>
      <c r="W20" s="22" t="str">
        <f aca="false">IF(AND(L20="",V20=""),"",SUM(L20,V20))</f>
        <v/>
      </c>
    </row>
    <row r="21" customFormat="false" ht="15" hidden="false" customHeight="true" outlineLevel="0" collapsed="false">
      <c r="A21" s="23" t="s">
        <v>90</v>
      </c>
      <c r="B21" s="5"/>
      <c r="C21" s="22" t="n">
        <f aca="false">IF($B20="","",FLOOR($B20/18,1)+IF(MOD($B20,18)&gt;=C$4,1,0))</f>
        <v>1</v>
      </c>
      <c r="D21" s="22" t="n">
        <f aca="false">IF($B20="","",FLOOR($B20/18,1)+IF(MOD($B20,18)&gt;=D$4,1,0))</f>
        <v>1</v>
      </c>
      <c r="E21" s="22" t="n">
        <f aca="false">IF($B20="","",FLOOR($B20/18,1)+IF(MOD($B20,18)&gt;=E$4,1,0))</f>
        <v>1</v>
      </c>
      <c r="F21" s="22" t="n">
        <f aca="false">IF($B20="","",FLOOR($B20/18,1)+IF(MOD($B20,18)&gt;=F$4,1,0))</f>
        <v>2</v>
      </c>
      <c r="G21" s="22" t="n">
        <f aca="false">IF($B20="","",FLOOR($B20/18,1)+IF(MOD($B20,18)&gt;=G$4,1,0))</f>
        <v>1</v>
      </c>
      <c r="H21" s="22" t="n">
        <f aca="false">IF($B20="","",FLOOR($B20/18,1)+IF(MOD($B20,18)&gt;=H$4,1,0))</f>
        <v>1</v>
      </c>
      <c r="I21" s="22" t="n">
        <f aca="false">IF($B20="","",FLOOR($B20/18,1)+IF(MOD($B20,18)&gt;=I$4,1,0))</f>
        <v>1</v>
      </c>
      <c r="J21" s="22" t="n">
        <f aca="false">IF($B20="","",FLOOR($B20/18,1)+IF(MOD($B20,18)&gt;=J$4,1,0))</f>
        <v>1</v>
      </c>
      <c r="K21" s="22" t="n">
        <f aca="false">IF($B20="","",FLOOR($B20/18,1)+IF(MOD($B20,18)&gt;=K$4,1,0))</f>
        <v>1</v>
      </c>
      <c r="L21" s="22" t="n">
        <f aca="false">IF(COUNT(C21:K21)=0,"",SUM(C21:K21))</f>
        <v>10</v>
      </c>
      <c r="M21" s="22" t="n">
        <f aca="false">IF($B20="","",FLOOR($B20/18,1)+IF(MOD($B20,18)&gt;=M$4,1,0))</f>
        <v>1</v>
      </c>
      <c r="N21" s="22" t="n">
        <f aca="false">IF($B20="","",FLOOR($B20/18,1)+IF(MOD($B20,18)&gt;=N$4,1,0))</f>
        <v>1</v>
      </c>
      <c r="O21" s="22" t="n">
        <f aca="false">IF($B20="","",FLOOR($B20/18,1)+IF(MOD($B20,18)&gt;=O$4,1,0))</f>
        <v>2</v>
      </c>
      <c r="P21" s="22" t="n">
        <f aca="false">IF($B20="","",FLOOR($B20/18,1)+IF(MOD($B20,18)&gt;=P$4,1,0))</f>
        <v>1</v>
      </c>
      <c r="Q21" s="22" t="n">
        <f aca="false">IF($B20="","",FLOOR($B20/18,1)+IF(MOD($B20,18)&gt;=Q$4,1,0))</f>
        <v>1</v>
      </c>
      <c r="R21" s="22" t="n">
        <f aca="false">IF($B20="","",FLOOR($B20/18,1)+IF(MOD($B20,18)&gt;=R$4,1,0))</f>
        <v>1</v>
      </c>
      <c r="S21" s="22" t="n">
        <f aca="false">IF($B20="","",FLOOR($B20/18,1)+IF(MOD($B20,18)&gt;=S$4,1,0))</f>
        <v>1</v>
      </c>
      <c r="T21" s="22" t="n">
        <f aca="false">IF($B20="","",FLOOR($B20/18,1)+IF(MOD($B20,18)&gt;=T$4,1,0))</f>
        <v>1</v>
      </c>
      <c r="U21" s="22" t="n">
        <f aca="false">IF($B20="","",FLOOR($B20/18,1)+IF(MOD($B20,18)&gt;=U$4,1,0))</f>
        <v>1</v>
      </c>
      <c r="V21" s="22" t="n">
        <f aca="false">IF(COUNT(M21:U21)=0,"",SUM(M21:U21))</f>
        <v>10</v>
      </c>
      <c r="W21" s="22" t="n">
        <f aca="false">IF(AND(L21="",V21=""),"",SUM(L21,V21))</f>
        <v>20</v>
      </c>
    </row>
    <row r="22" customFormat="false" ht="15" hidden="false" customHeight="true" outlineLevel="0" collapsed="false">
      <c r="A22" s="23" t="s">
        <v>91</v>
      </c>
      <c r="B22" s="5"/>
      <c r="C22" s="22" t="str">
        <f aca="false">IF(C20="","",MAX(0,2-((C20-C21)-C$3)))</f>
        <v/>
      </c>
      <c r="D22" s="22" t="str">
        <f aca="false">IF(D20="","",MAX(0,2-((D20-D21)-D$3)))</f>
        <v/>
      </c>
      <c r="E22" s="22" t="str">
        <f aca="false">IF(E20="","",MAX(0,2-((E20-E21)-E$3)))</f>
        <v/>
      </c>
      <c r="F22" s="22" t="str">
        <f aca="false">IF(F20="","",MAX(0,2-((F20-F21)-F$3)))</f>
        <v/>
      </c>
      <c r="G22" s="22" t="str">
        <f aca="false">IF(G20="","",MAX(0,2-((G20-G21)-G$3)))</f>
        <v/>
      </c>
      <c r="H22" s="22" t="str">
        <f aca="false">IF(H20="","",MAX(0,2-((H20-H21)-H$3)))</f>
        <v/>
      </c>
      <c r="I22" s="22" t="str">
        <f aca="false">IF(I20="","",MAX(0,2-((I20-I21)-I$3)))</f>
        <v/>
      </c>
      <c r="J22" s="22" t="str">
        <f aca="false">IF(J20="","",MAX(0,2-((J20-J21)-J$3)))</f>
        <v/>
      </c>
      <c r="K22" s="22" t="str">
        <f aca="false">IF(K20="","",MAX(0,2-((K20-K21)-K$3)))</f>
        <v/>
      </c>
      <c r="L22" s="22" t="n">
        <f aca="false">SUM(C22:K22)</f>
        <v>0</v>
      </c>
      <c r="M22" s="22" t="str">
        <f aca="false">IF(M20="","",MAX(0,2-((M20-M21)-M$3)))</f>
        <v/>
      </c>
      <c r="N22" s="22" t="str">
        <f aca="false">IF(N20="","",MAX(0,2-((N20-N21)-N$3)))</f>
        <v/>
      </c>
      <c r="O22" s="22" t="str">
        <f aca="false">IF(O20="","",MAX(0,2-((O20-O21)-O$3)))</f>
        <v/>
      </c>
      <c r="P22" s="22" t="str">
        <f aca="false">IF(P20="","",MAX(0,2-((P20-P21)-P$3)))</f>
        <v/>
      </c>
      <c r="Q22" s="22" t="str">
        <f aca="false">IF(Q20="","",MAX(0,2-((Q20-Q21)-Q$3)))</f>
        <v/>
      </c>
      <c r="R22" s="22" t="str">
        <f aca="false">IF(R20="","",MAX(0,2-((R20-R21)-R$3)))</f>
        <v/>
      </c>
      <c r="S22" s="22" t="str">
        <f aca="false">IF(S20="","",MAX(0,2-((S20-S21)-S$3)))</f>
        <v/>
      </c>
      <c r="T22" s="22" t="str">
        <f aca="false">IF(T20="","",MAX(0,2-((T20-T21)-T$3)))</f>
        <v/>
      </c>
      <c r="U22" s="22" t="str">
        <f aca="false">IF(U20="","",MAX(0,2-((U20-U21)-U$3)))</f>
        <v/>
      </c>
      <c r="V22" s="22" t="n">
        <f aca="false">SUM(M22:U22)</f>
        <v>0</v>
      </c>
      <c r="W22" s="22" t="n">
        <f aca="false">L22+V22</f>
        <v>0</v>
      </c>
    </row>
    <row r="23" customFormat="false" ht="15" hidden="false" customHeight="true" outlineLevel="0" collapsed="false">
      <c r="A23" s="23" t="s">
        <v>92</v>
      </c>
      <c r="B23" s="24" t="n">
        <f aca="false">'Course Handicaps'!N10</f>
        <v>16</v>
      </c>
      <c r="C23" s="21"/>
      <c r="D23" s="21"/>
      <c r="E23" s="21"/>
      <c r="F23" s="21"/>
      <c r="G23" s="21"/>
      <c r="H23" s="21"/>
      <c r="I23" s="21"/>
      <c r="J23" s="21"/>
      <c r="K23" s="21"/>
      <c r="L23" s="22" t="str">
        <f aca="false">IF(COUNT(C23:K23)=0,"",SUM(C23:K23))</f>
        <v/>
      </c>
      <c r="M23" s="21"/>
      <c r="N23" s="21"/>
      <c r="O23" s="21"/>
      <c r="P23" s="21"/>
      <c r="Q23" s="21"/>
      <c r="R23" s="21"/>
      <c r="S23" s="21"/>
      <c r="T23" s="21"/>
      <c r="U23" s="21"/>
      <c r="V23" s="22" t="str">
        <f aca="false">IF(COUNT(M23:U23)=0,"",SUM(M23:U23))</f>
        <v/>
      </c>
      <c r="W23" s="22" t="str">
        <f aca="false">IF(AND(L23="",V23=""),"",SUM(L23,V23))</f>
        <v/>
      </c>
    </row>
    <row r="24" customFormat="false" ht="15" hidden="false" customHeight="true" outlineLevel="0" collapsed="false">
      <c r="A24" s="23" t="s">
        <v>93</v>
      </c>
      <c r="B24" s="5"/>
      <c r="C24" s="22" t="n">
        <f aca="false">IF($B23="","",FLOOR($B23/18,1)+IF(MOD($B23,18)&gt;=C$4,1,0))</f>
        <v>1</v>
      </c>
      <c r="D24" s="22" t="n">
        <f aca="false">IF($B23="","",FLOOR($B23/18,1)+IF(MOD($B23,18)&gt;=D$4,1,0))</f>
        <v>1</v>
      </c>
      <c r="E24" s="22" t="n">
        <f aca="false">IF($B23="","",FLOOR($B23/18,1)+IF(MOD($B23,18)&gt;=E$4,1,0))</f>
        <v>1</v>
      </c>
      <c r="F24" s="22" t="n">
        <f aca="false">IF($B23="","",FLOOR($B23/18,1)+IF(MOD($B23,18)&gt;=F$4,1,0))</f>
        <v>1</v>
      </c>
      <c r="G24" s="22" t="n">
        <f aca="false">IF($B23="","",FLOOR($B23/18,1)+IF(MOD($B23,18)&gt;=G$4,1,0))</f>
        <v>0</v>
      </c>
      <c r="H24" s="22" t="n">
        <f aca="false">IF($B23="","",FLOOR($B23/18,1)+IF(MOD($B23,18)&gt;=H$4,1,0))</f>
        <v>1</v>
      </c>
      <c r="I24" s="22" t="n">
        <f aca="false">IF($B23="","",FLOOR($B23/18,1)+IF(MOD($B23,18)&gt;=I$4,1,0))</f>
        <v>1</v>
      </c>
      <c r="J24" s="22" t="n">
        <f aca="false">IF($B23="","",FLOOR($B23/18,1)+IF(MOD($B23,18)&gt;=J$4,1,0))</f>
        <v>1</v>
      </c>
      <c r="K24" s="22" t="n">
        <f aca="false">IF($B23="","",FLOOR($B23/18,1)+IF(MOD($B23,18)&gt;=K$4,1,0))</f>
        <v>1</v>
      </c>
      <c r="L24" s="22" t="n">
        <f aca="false">IF(COUNT(C24:K24)=0,"",SUM(C24:K24))</f>
        <v>8</v>
      </c>
      <c r="M24" s="22" t="n">
        <f aca="false">IF($B23="","",FLOOR($B23/18,1)+IF(MOD($B23,18)&gt;=M$4,1,0))</f>
        <v>1</v>
      </c>
      <c r="N24" s="22" t="n">
        <f aca="false">IF($B23="","",FLOOR($B23/18,1)+IF(MOD($B23,18)&gt;=N$4,1,0))</f>
        <v>0</v>
      </c>
      <c r="O24" s="22" t="n">
        <f aca="false">IF($B23="","",FLOOR($B23/18,1)+IF(MOD($B23,18)&gt;=O$4,1,0))</f>
        <v>1</v>
      </c>
      <c r="P24" s="22" t="n">
        <f aca="false">IF($B23="","",FLOOR($B23/18,1)+IF(MOD($B23,18)&gt;=P$4,1,0))</f>
        <v>1</v>
      </c>
      <c r="Q24" s="22" t="n">
        <f aca="false">IF($B23="","",FLOOR($B23/18,1)+IF(MOD($B23,18)&gt;=Q$4,1,0))</f>
        <v>1</v>
      </c>
      <c r="R24" s="22" t="n">
        <f aca="false">IF($B23="","",FLOOR($B23/18,1)+IF(MOD($B23,18)&gt;=R$4,1,0))</f>
        <v>1</v>
      </c>
      <c r="S24" s="22" t="n">
        <f aca="false">IF($B23="","",FLOOR($B23/18,1)+IF(MOD($B23,18)&gt;=S$4,1,0))</f>
        <v>1</v>
      </c>
      <c r="T24" s="22" t="n">
        <f aca="false">IF($B23="","",FLOOR($B23/18,1)+IF(MOD($B23,18)&gt;=T$4,1,0))</f>
        <v>1</v>
      </c>
      <c r="U24" s="22" t="n">
        <f aca="false">IF($B23="","",FLOOR($B23/18,1)+IF(MOD($B23,18)&gt;=U$4,1,0))</f>
        <v>1</v>
      </c>
      <c r="V24" s="22" t="n">
        <f aca="false">IF(COUNT(M24:U24)=0,"",SUM(M24:U24))</f>
        <v>8</v>
      </c>
      <c r="W24" s="22" t="n">
        <f aca="false">IF(AND(L24="",V24=""),"",SUM(L24,V24))</f>
        <v>16</v>
      </c>
    </row>
    <row r="25" customFormat="false" ht="15" hidden="false" customHeight="true" outlineLevel="0" collapsed="false">
      <c r="A25" s="23" t="s">
        <v>94</v>
      </c>
      <c r="B25" s="5"/>
      <c r="C25" s="22" t="str">
        <f aca="false">IF(C23="","",MAX(0,2-((C23-C24)-C$3)))</f>
        <v/>
      </c>
      <c r="D25" s="22" t="str">
        <f aca="false">IF(D23="","",MAX(0,2-((D23-D24)-D$3)))</f>
        <v/>
      </c>
      <c r="E25" s="22" t="str">
        <f aca="false">IF(E23="","",MAX(0,2-((E23-E24)-E$3)))</f>
        <v/>
      </c>
      <c r="F25" s="22" t="str">
        <f aca="false">IF(F23="","",MAX(0,2-((F23-F24)-F$3)))</f>
        <v/>
      </c>
      <c r="G25" s="22" t="str">
        <f aca="false">IF(G23="","",MAX(0,2-((G23-G24)-G$3)))</f>
        <v/>
      </c>
      <c r="H25" s="22" t="str">
        <f aca="false">IF(H23="","",MAX(0,2-((H23-H24)-H$3)))</f>
        <v/>
      </c>
      <c r="I25" s="22" t="str">
        <f aca="false">IF(I23="","",MAX(0,2-((I23-I24)-I$3)))</f>
        <v/>
      </c>
      <c r="J25" s="22" t="str">
        <f aca="false">IF(J23="","",MAX(0,2-((J23-J24)-J$3)))</f>
        <v/>
      </c>
      <c r="K25" s="22" t="str">
        <f aca="false">IF(K23="","",MAX(0,2-((K23-K24)-K$3)))</f>
        <v/>
      </c>
      <c r="L25" s="22" t="n">
        <f aca="false">SUM(C25:K25)</f>
        <v>0</v>
      </c>
      <c r="M25" s="22" t="str">
        <f aca="false">IF(M23="","",MAX(0,2-((M23-M24)-M$3)))</f>
        <v/>
      </c>
      <c r="N25" s="22" t="str">
        <f aca="false">IF(N23="","",MAX(0,2-((N23-N24)-N$3)))</f>
        <v/>
      </c>
      <c r="O25" s="22" t="str">
        <f aca="false">IF(O23="","",MAX(0,2-((O23-O24)-O$3)))</f>
        <v/>
      </c>
      <c r="P25" s="22" t="str">
        <f aca="false">IF(P23="","",MAX(0,2-((P23-P24)-P$3)))</f>
        <v/>
      </c>
      <c r="Q25" s="22" t="str">
        <f aca="false">IF(Q23="","",MAX(0,2-((Q23-Q24)-Q$3)))</f>
        <v/>
      </c>
      <c r="R25" s="22" t="str">
        <f aca="false">IF(R23="","",MAX(0,2-((R23-R24)-R$3)))</f>
        <v/>
      </c>
      <c r="S25" s="22" t="str">
        <f aca="false">IF(S23="","",MAX(0,2-((S23-S24)-S$3)))</f>
        <v/>
      </c>
      <c r="T25" s="22" t="str">
        <f aca="false">IF(T23="","",MAX(0,2-((T23-T24)-T$3)))</f>
        <v/>
      </c>
      <c r="U25" s="22" t="str">
        <f aca="false">IF(U23="","",MAX(0,2-((U23-U24)-U$3)))</f>
        <v/>
      </c>
      <c r="V25" s="22" t="n">
        <f aca="false">SUM(M25:U25)</f>
        <v>0</v>
      </c>
      <c r="W25" s="22" t="n">
        <f aca="false">L25+V25</f>
        <v>0</v>
      </c>
    </row>
    <row r="26" customFormat="false" ht="15" hidden="false" customHeight="true" outlineLevel="0" collapsed="false">
      <c r="A26" s="23" t="s">
        <v>95</v>
      </c>
      <c r="B26" s="24" t="n">
        <f aca="false">'Course Handicaps'!N11</f>
        <v>28</v>
      </c>
      <c r="C26" s="21"/>
      <c r="D26" s="21"/>
      <c r="E26" s="21"/>
      <c r="F26" s="21"/>
      <c r="G26" s="21"/>
      <c r="H26" s="21"/>
      <c r="I26" s="21"/>
      <c r="J26" s="21"/>
      <c r="K26" s="21"/>
      <c r="L26" s="22" t="str">
        <f aca="false">IF(COUNT(C26:K26)=0,"",SUM(C26:K26))</f>
        <v/>
      </c>
      <c r="M26" s="21"/>
      <c r="N26" s="21"/>
      <c r="O26" s="21"/>
      <c r="P26" s="21"/>
      <c r="Q26" s="21"/>
      <c r="R26" s="21"/>
      <c r="S26" s="21"/>
      <c r="T26" s="21"/>
      <c r="U26" s="21"/>
      <c r="V26" s="22" t="str">
        <f aca="false">IF(COUNT(M26:U26)=0,"",SUM(M26:U26))</f>
        <v/>
      </c>
      <c r="W26" s="22" t="str">
        <f aca="false">IF(AND(L26="",V26=""),"",SUM(L26,V26))</f>
        <v/>
      </c>
    </row>
    <row r="27" customFormat="false" ht="15" hidden="false" customHeight="true" outlineLevel="0" collapsed="false">
      <c r="A27" s="23" t="s">
        <v>96</v>
      </c>
      <c r="B27" s="5"/>
      <c r="C27" s="22" t="n">
        <f aca="false">IF($B26="","",FLOOR($B26/18,1)+IF(MOD($B26,18)&gt;=C$4,1,0))</f>
        <v>2</v>
      </c>
      <c r="D27" s="22" t="n">
        <f aca="false">IF($B26="","",FLOOR($B26/18,1)+IF(MOD($B26,18)&gt;=D$4,1,0))</f>
        <v>2</v>
      </c>
      <c r="E27" s="22" t="n">
        <f aca="false">IF($B26="","",FLOOR($B26/18,1)+IF(MOD($B26,18)&gt;=E$4,1,0))</f>
        <v>1</v>
      </c>
      <c r="F27" s="22" t="n">
        <f aca="false">IF($B26="","",FLOOR($B26/18,1)+IF(MOD($B26,18)&gt;=F$4,1,0))</f>
        <v>2</v>
      </c>
      <c r="G27" s="22" t="n">
        <f aca="false">IF($B26="","",FLOOR($B26/18,1)+IF(MOD($B26,18)&gt;=G$4,1,0))</f>
        <v>1</v>
      </c>
      <c r="H27" s="22" t="n">
        <f aca="false">IF($B26="","",FLOOR($B26/18,1)+IF(MOD($B26,18)&gt;=H$4,1,0))</f>
        <v>2</v>
      </c>
      <c r="I27" s="22" t="n">
        <f aca="false">IF($B26="","",FLOOR($B26/18,1)+IF(MOD($B26,18)&gt;=I$4,1,0))</f>
        <v>1</v>
      </c>
      <c r="J27" s="22" t="n">
        <f aca="false">IF($B26="","",FLOOR($B26/18,1)+IF(MOD($B26,18)&gt;=J$4,1,0))</f>
        <v>2</v>
      </c>
      <c r="K27" s="22" t="n">
        <f aca="false">IF($B26="","",FLOOR($B26/18,1)+IF(MOD($B26,18)&gt;=K$4,1,0))</f>
        <v>1</v>
      </c>
      <c r="L27" s="22" t="n">
        <f aca="false">IF(COUNT(C27:K27)=0,"",SUM(C27:K27))</f>
        <v>14</v>
      </c>
      <c r="M27" s="22" t="n">
        <f aca="false">IF($B26="","",FLOOR($B26/18,1)+IF(MOD($B26,18)&gt;=M$4,1,0))</f>
        <v>1</v>
      </c>
      <c r="N27" s="22" t="n">
        <f aca="false">IF($B26="","",FLOOR($B26/18,1)+IF(MOD($B26,18)&gt;=N$4,1,0))</f>
        <v>1</v>
      </c>
      <c r="O27" s="22" t="n">
        <f aca="false">IF($B26="","",FLOOR($B26/18,1)+IF(MOD($B26,18)&gt;=O$4,1,0))</f>
        <v>2</v>
      </c>
      <c r="P27" s="22" t="n">
        <f aca="false">IF($B26="","",FLOOR($B26/18,1)+IF(MOD($B26,18)&gt;=P$4,1,0))</f>
        <v>2</v>
      </c>
      <c r="Q27" s="22" t="n">
        <f aca="false">IF($B26="","",FLOOR($B26/18,1)+IF(MOD($B26,18)&gt;=Q$4,1,0))</f>
        <v>1</v>
      </c>
      <c r="R27" s="22" t="n">
        <f aca="false">IF($B26="","",FLOOR($B26/18,1)+IF(MOD($B26,18)&gt;=R$4,1,0))</f>
        <v>2</v>
      </c>
      <c r="S27" s="22" t="n">
        <f aca="false">IF($B26="","",FLOOR($B26/18,1)+IF(MOD($B26,18)&gt;=S$4,1,0))</f>
        <v>1</v>
      </c>
      <c r="T27" s="22" t="n">
        <f aca="false">IF($B26="","",FLOOR($B26/18,1)+IF(MOD($B26,18)&gt;=T$4,1,0))</f>
        <v>2</v>
      </c>
      <c r="U27" s="22" t="n">
        <f aca="false">IF($B26="","",FLOOR($B26/18,1)+IF(MOD($B26,18)&gt;=U$4,1,0))</f>
        <v>2</v>
      </c>
      <c r="V27" s="22" t="n">
        <f aca="false">IF(COUNT(M27:U27)=0,"",SUM(M27:U27))</f>
        <v>14</v>
      </c>
      <c r="W27" s="22" t="n">
        <f aca="false">IF(AND(L27="",V27=""),"",SUM(L27,V27))</f>
        <v>28</v>
      </c>
    </row>
    <row r="28" customFormat="false" ht="15" hidden="false" customHeight="true" outlineLevel="0" collapsed="false">
      <c r="A28" s="23" t="s">
        <v>97</v>
      </c>
      <c r="B28" s="5"/>
      <c r="C28" s="22" t="str">
        <f aca="false">IF(C26="","",MAX(0,2-((C26-C27)-C$3)))</f>
        <v/>
      </c>
      <c r="D28" s="22" t="str">
        <f aca="false">IF(D26="","",MAX(0,2-((D26-D27)-D$3)))</f>
        <v/>
      </c>
      <c r="E28" s="22" t="str">
        <f aca="false">IF(E26="","",MAX(0,2-((E26-E27)-E$3)))</f>
        <v/>
      </c>
      <c r="F28" s="22" t="str">
        <f aca="false">IF(F26="","",MAX(0,2-((F26-F27)-F$3)))</f>
        <v/>
      </c>
      <c r="G28" s="22" t="str">
        <f aca="false">IF(G26="","",MAX(0,2-((G26-G27)-G$3)))</f>
        <v/>
      </c>
      <c r="H28" s="22" t="str">
        <f aca="false">IF(H26="","",MAX(0,2-((H26-H27)-H$3)))</f>
        <v/>
      </c>
      <c r="I28" s="22" t="str">
        <f aca="false">IF(I26="","",MAX(0,2-((I26-I27)-I$3)))</f>
        <v/>
      </c>
      <c r="J28" s="22" t="str">
        <f aca="false">IF(J26="","",MAX(0,2-((J26-J27)-J$3)))</f>
        <v/>
      </c>
      <c r="K28" s="22" t="str">
        <f aca="false">IF(K26="","",MAX(0,2-((K26-K27)-K$3)))</f>
        <v/>
      </c>
      <c r="L28" s="22" t="n">
        <f aca="false">SUM(C28:K28)</f>
        <v>0</v>
      </c>
      <c r="M28" s="22" t="str">
        <f aca="false">IF(M26="","",MAX(0,2-((M26-M27)-M$3)))</f>
        <v/>
      </c>
      <c r="N28" s="22" t="str">
        <f aca="false">IF(N26="","",MAX(0,2-((N26-N27)-N$3)))</f>
        <v/>
      </c>
      <c r="O28" s="22" t="str">
        <f aca="false">IF(O26="","",MAX(0,2-((O26-O27)-O$3)))</f>
        <v/>
      </c>
      <c r="P28" s="22" t="str">
        <f aca="false">IF(P26="","",MAX(0,2-((P26-P27)-P$3)))</f>
        <v/>
      </c>
      <c r="Q28" s="22" t="str">
        <f aca="false">IF(Q26="","",MAX(0,2-((Q26-Q27)-Q$3)))</f>
        <v/>
      </c>
      <c r="R28" s="22" t="str">
        <f aca="false">IF(R26="","",MAX(0,2-((R26-R27)-R$3)))</f>
        <v/>
      </c>
      <c r="S28" s="22" t="str">
        <f aca="false">IF(S26="","",MAX(0,2-((S26-S27)-S$3)))</f>
        <v/>
      </c>
      <c r="T28" s="22" t="str">
        <f aca="false">IF(T26="","",MAX(0,2-((T26-T27)-T$3)))</f>
        <v/>
      </c>
      <c r="U28" s="22" t="str">
        <f aca="false">IF(U26="","",MAX(0,2-((U26-U27)-U$3)))</f>
        <v/>
      </c>
      <c r="V28" s="22" t="n">
        <f aca="false">SUM(M28:U28)</f>
        <v>0</v>
      </c>
      <c r="W28" s="22" t="n">
        <f aca="false">L28+V28</f>
        <v>0</v>
      </c>
    </row>
    <row r="29" customFormat="false" ht="15" hidden="false" customHeight="true" outlineLevel="0" collapsed="false">
      <c r="A29" s="5"/>
      <c r="B29" s="5"/>
      <c r="C29" s="5"/>
      <c r="D29" s="5"/>
      <c r="E29" s="5"/>
      <c r="F29" s="5"/>
      <c r="G29" s="5"/>
      <c r="H29" s="5"/>
      <c r="I29" s="5"/>
      <c r="J29" s="5"/>
      <c r="K29" s="5"/>
      <c r="L29" s="5"/>
      <c r="M29" s="5"/>
      <c r="N29" s="5"/>
      <c r="O29" s="5"/>
      <c r="P29" s="5"/>
      <c r="Q29" s="5"/>
      <c r="R29" s="5"/>
      <c r="S29" s="5"/>
      <c r="T29" s="5"/>
      <c r="U29" s="5"/>
      <c r="V29" s="5"/>
      <c r="W29" s="5"/>
    </row>
    <row r="30" customFormat="false" ht="15" hidden="false" customHeight="true" outlineLevel="0" collapsed="false">
      <c r="A30" s="18" t="s">
        <v>98</v>
      </c>
      <c r="B30" s="18"/>
      <c r="C30" s="18"/>
      <c r="D30" s="18"/>
      <c r="E30" s="18"/>
      <c r="F30" s="18"/>
      <c r="G30" s="18"/>
      <c r="H30" s="18"/>
      <c r="I30" s="18"/>
      <c r="J30" s="18"/>
      <c r="K30" s="18"/>
      <c r="L30" s="18"/>
      <c r="M30" s="18"/>
      <c r="N30" s="18"/>
      <c r="O30" s="18"/>
      <c r="P30" s="18"/>
      <c r="Q30" s="18"/>
      <c r="R30" s="18"/>
      <c r="S30" s="18"/>
      <c r="T30" s="18"/>
      <c r="U30" s="18"/>
      <c r="V30" s="18"/>
      <c r="W30" s="18"/>
    </row>
  </sheetData>
  <mergeCells count="2">
    <mergeCell ref="A1:W1"/>
    <mergeCell ref="A30:W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0" width="20"/>
    <col collapsed="false" customWidth="true" hidden="false" outlineLevel="0" max="2" min="2" style="0" width="7"/>
    <col collapsed="false" customWidth="true" hidden="false" outlineLevel="0" max="20" min="3" style="0" width="6.51"/>
    <col collapsed="false" customWidth="true" hidden="false" outlineLevel="0" max="21" min="21" style="0" width="7"/>
    <col collapsed="false" customWidth="true" hidden="false" outlineLevel="0" max="23" min="23" style="0" width="8"/>
  </cols>
  <sheetData>
    <row r="1" customFormat="false" ht="24" hidden="false" customHeight="true" outlineLevel="0" collapsed="false">
      <c r="A1" s="19" t="s">
        <v>101</v>
      </c>
      <c r="B1" s="19"/>
      <c r="C1" s="19"/>
      <c r="D1" s="19"/>
      <c r="E1" s="19"/>
      <c r="F1" s="19"/>
      <c r="G1" s="19"/>
      <c r="H1" s="19"/>
      <c r="I1" s="19"/>
      <c r="J1" s="19"/>
      <c r="K1" s="19"/>
      <c r="L1" s="19"/>
      <c r="M1" s="19"/>
      <c r="N1" s="19"/>
      <c r="O1" s="19"/>
      <c r="P1" s="19"/>
      <c r="Q1" s="19"/>
      <c r="R1" s="19"/>
      <c r="S1" s="19"/>
      <c r="T1" s="19"/>
      <c r="U1" s="19"/>
      <c r="V1" s="19"/>
      <c r="W1" s="19"/>
    </row>
    <row r="2" customFormat="false" ht="15" hidden="false" customHeight="true" outlineLevel="0" collapsed="false">
      <c r="A2" s="8" t="s">
        <v>67</v>
      </c>
      <c r="B2" s="8" t="s">
        <v>68</v>
      </c>
      <c r="C2" s="8" t="n">
        <v>1</v>
      </c>
      <c r="D2" s="8" t="n">
        <v>2</v>
      </c>
      <c r="E2" s="8" t="n">
        <v>3</v>
      </c>
      <c r="F2" s="8" t="n">
        <v>4</v>
      </c>
      <c r="G2" s="8" t="n">
        <v>5</v>
      </c>
      <c r="H2" s="8" t="n">
        <v>6</v>
      </c>
      <c r="I2" s="8" t="n">
        <v>7</v>
      </c>
      <c r="J2" s="8" t="n">
        <v>8</v>
      </c>
      <c r="K2" s="8" t="n">
        <v>9</v>
      </c>
      <c r="L2" s="8" t="s">
        <v>69</v>
      </c>
      <c r="M2" s="8" t="n">
        <v>10</v>
      </c>
      <c r="N2" s="8" t="n">
        <v>11</v>
      </c>
      <c r="O2" s="8" t="n">
        <v>12</v>
      </c>
      <c r="P2" s="8" t="n">
        <v>13</v>
      </c>
      <c r="Q2" s="8" t="n">
        <v>14</v>
      </c>
      <c r="R2" s="8" t="n">
        <v>15</v>
      </c>
      <c r="S2" s="8" t="n">
        <v>16</v>
      </c>
      <c r="T2" s="8" t="n">
        <v>17</v>
      </c>
      <c r="U2" s="8" t="n">
        <v>18</v>
      </c>
      <c r="V2" s="8" t="s">
        <v>70</v>
      </c>
      <c r="W2" s="8" t="s">
        <v>71</v>
      </c>
    </row>
    <row r="3" customFormat="false" ht="15" hidden="false" customHeight="true" outlineLevel="0" collapsed="false">
      <c r="A3" s="20" t="s">
        <v>72</v>
      </c>
      <c r="B3" s="5"/>
      <c r="C3" s="21"/>
      <c r="D3" s="21"/>
      <c r="E3" s="21"/>
      <c r="F3" s="21"/>
      <c r="G3" s="21"/>
      <c r="H3" s="21"/>
      <c r="I3" s="21"/>
      <c r="J3" s="21"/>
      <c r="K3" s="21"/>
      <c r="L3" s="22" t="n">
        <f aca="false">SUM(C3:K3)</f>
        <v>0</v>
      </c>
      <c r="M3" s="21"/>
      <c r="N3" s="21"/>
      <c r="O3" s="21"/>
      <c r="P3" s="21"/>
      <c r="Q3" s="21"/>
      <c r="R3" s="21"/>
      <c r="S3" s="21"/>
      <c r="T3" s="21"/>
      <c r="U3" s="21"/>
      <c r="V3" s="22" t="n">
        <f aca="false">SUM(M3:U3)</f>
        <v>0</v>
      </c>
      <c r="W3" s="22" t="n">
        <f aca="false">L3+V3</f>
        <v>0</v>
      </c>
    </row>
    <row r="4" customFormat="false" ht="15" hidden="false" customHeight="true" outlineLevel="0" collapsed="false">
      <c r="A4" s="20" t="s">
        <v>73</v>
      </c>
      <c r="B4" s="5"/>
      <c r="C4" s="21"/>
      <c r="D4" s="21"/>
      <c r="E4" s="21"/>
      <c r="F4" s="21"/>
      <c r="G4" s="21"/>
      <c r="H4" s="21"/>
      <c r="I4" s="21"/>
      <c r="J4" s="21"/>
      <c r="K4" s="21"/>
      <c r="L4" s="5"/>
      <c r="M4" s="21"/>
      <c r="N4" s="21"/>
      <c r="O4" s="21"/>
      <c r="P4" s="21"/>
      <c r="Q4" s="21"/>
      <c r="R4" s="21"/>
      <c r="S4" s="21"/>
      <c r="T4" s="21"/>
      <c r="U4" s="21"/>
      <c r="V4" s="5"/>
      <c r="W4" s="5"/>
    </row>
    <row r="5" customFormat="false" ht="15" hidden="false" customHeight="true" outlineLevel="0" collapsed="false">
      <c r="A5" s="23" t="s">
        <v>74</v>
      </c>
      <c r="B5" s="24" t="n">
        <f aca="false">'Course Handicaps'!I4</f>
        <v>18</v>
      </c>
      <c r="C5" s="21"/>
      <c r="D5" s="21"/>
      <c r="E5" s="21"/>
      <c r="F5" s="21"/>
      <c r="G5" s="21"/>
      <c r="H5" s="21"/>
      <c r="I5" s="21"/>
      <c r="J5" s="21"/>
      <c r="K5" s="21"/>
      <c r="L5" s="22" t="str">
        <f aca="false">IF(COUNT(C5:K5)=0,"",SUM(C5:K5))</f>
        <v/>
      </c>
      <c r="M5" s="21"/>
      <c r="N5" s="21"/>
      <c r="O5" s="21"/>
      <c r="P5" s="21"/>
      <c r="Q5" s="21"/>
      <c r="R5" s="21"/>
      <c r="S5" s="21"/>
      <c r="T5" s="21"/>
      <c r="U5" s="21"/>
      <c r="V5" s="22" t="str">
        <f aca="false">IF(COUNT(M5:U5)=0,"",SUM(M5:U5))</f>
        <v/>
      </c>
      <c r="W5" s="22" t="str">
        <f aca="false">IF(AND(L5="",V5=""),"",SUM(L5,V5))</f>
        <v/>
      </c>
    </row>
    <row r="6" customFormat="false" ht="15" hidden="false" customHeight="true" outlineLevel="0" collapsed="false">
      <c r="A6" s="23" t="s">
        <v>75</v>
      </c>
      <c r="B6" s="5"/>
      <c r="C6" s="22" t="n">
        <f aca="false">IF($B5="","",FLOOR($B5/18,1)+IF(MOD($B5,18)&gt;=C$4,1,0))</f>
        <v>2</v>
      </c>
      <c r="D6" s="22" t="n">
        <f aca="false">IF($B5="","",FLOOR($B5/18,1)+IF(MOD($B5,18)&gt;=D$4,1,0))</f>
        <v>2</v>
      </c>
      <c r="E6" s="22" t="n">
        <f aca="false">IF($B5="","",FLOOR($B5/18,1)+IF(MOD($B5,18)&gt;=E$4,1,0))</f>
        <v>2</v>
      </c>
      <c r="F6" s="22" t="n">
        <f aca="false">IF($B5="","",FLOOR($B5/18,1)+IF(MOD($B5,18)&gt;=F$4,1,0))</f>
        <v>2</v>
      </c>
      <c r="G6" s="22" t="n">
        <f aca="false">IF($B5="","",FLOOR($B5/18,1)+IF(MOD($B5,18)&gt;=G$4,1,0))</f>
        <v>2</v>
      </c>
      <c r="H6" s="22" t="n">
        <f aca="false">IF($B5="","",FLOOR($B5/18,1)+IF(MOD($B5,18)&gt;=H$4,1,0))</f>
        <v>2</v>
      </c>
      <c r="I6" s="22" t="n">
        <f aca="false">IF($B5="","",FLOOR($B5/18,1)+IF(MOD($B5,18)&gt;=I$4,1,0))</f>
        <v>2</v>
      </c>
      <c r="J6" s="22" t="n">
        <f aca="false">IF($B5="","",FLOOR($B5/18,1)+IF(MOD($B5,18)&gt;=J$4,1,0))</f>
        <v>2</v>
      </c>
      <c r="K6" s="22" t="n">
        <f aca="false">IF($B5="","",FLOOR($B5/18,1)+IF(MOD($B5,18)&gt;=K$4,1,0))</f>
        <v>2</v>
      </c>
      <c r="L6" s="22" t="n">
        <f aca="false">IF(COUNT(C6:K6)=0,"",SUM(C6:K6))</f>
        <v>18</v>
      </c>
      <c r="M6" s="22" t="n">
        <f aca="false">IF($B5="","",FLOOR($B5/18,1)+IF(MOD($B5,18)&gt;=M$4,1,0))</f>
        <v>2</v>
      </c>
      <c r="N6" s="22" t="n">
        <f aca="false">IF($B5="","",FLOOR($B5/18,1)+IF(MOD($B5,18)&gt;=N$4,1,0))</f>
        <v>2</v>
      </c>
      <c r="O6" s="22" t="n">
        <f aca="false">IF($B5="","",FLOOR($B5/18,1)+IF(MOD($B5,18)&gt;=O$4,1,0))</f>
        <v>2</v>
      </c>
      <c r="P6" s="22" t="n">
        <f aca="false">IF($B5="","",FLOOR($B5/18,1)+IF(MOD($B5,18)&gt;=P$4,1,0))</f>
        <v>2</v>
      </c>
      <c r="Q6" s="22" t="n">
        <f aca="false">IF($B5="","",FLOOR($B5/18,1)+IF(MOD($B5,18)&gt;=Q$4,1,0))</f>
        <v>2</v>
      </c>
      <c r="R6" s="22" t="n">
        <f aca="false">IF($B5="","",FLOOR($B5/18,1)+IF(MOD($B5,18)&gt;=R$4,1,0))</f>
        <v>2</v>
      </c>
      <c r="S6" s="22" t="n">
        <f aca="false">IF($B5="","",FLOOR($B5/18,1)+IF(MOD($B5,18)&gt;=S$4,1,0))</f>
        <v>2</v>
      </c>
      <c r="T6" s="22" t="n">
        <f aca="false">IF($B5="","",FLOOR($B5/18,1)+IF(MOD($B5,18)&gt;=T$4,1,0))</f>
        <v>2</v>
      </c>
      <c r="U6" s="22" t="n">
        <f aca="false">IF($B5="","",FLOOR($B5/18,1)+IF(MOD($B5,18)&gt;=U$4,1,0))</f>
        <v>2</v>
      </c>
      <c r="V6" s="22" t="n">
        <f aca="false">IF(COUNT(M6:U6)=0,"",SUM(M6:U6))</f>
        <v>18</v>
      </c>
      <c r="W6" s="22" t="n">
        <f aca="false">IF(AND(L6="",V6=""),"",SUM(L6,V6))</f>
        <v>36</v>
      </c>
    </row>
    <row r="7" customFormat="false" ht="15" hidden="false" customHeight="true" outlineLevel="0" collapsed="false">
      <c r="A7" s="23" t="s">
        <v>76</v>
      </c>
      <c r="B7" s="5"/>
      <c r="C7" s="22" t="str">
        <f aca="false">IF(C5="","",MAX(0,2-((C5-C6)-C$3)))</f>
        <v/>
      </c>
      <c r="D7" s="22" t="str">
        <f aca="false">IF(D5="","",MAX(0,2-((D5-D6)-D$3)))</f>
        <v/>
      </c>
      <c r="E7" s="22" t="str">
        <f aca="false">IF(E5="","",MAX(0,2-((E5-E6)-E$3)))</f>
        <v/>
      </c>
      <c r="F7" s="22" t="str">
        <f aca="false">IF(F5="","",MAX(0,2-((F5-F6)-F$3)))</f>
        <v/>
      </c>
      <c r="G7" s="22" t="str">
        <f aca="false">IF(G5="","",MAX(0,2-((G5-G6)-G$3)))</f>
        <v/>
      </c>
      <c r="H7" s="22" t="str">
        <f aca="false">IF(H5="","",MAX(0,2-((H5-H6)-H$3)))</f>
        <v/>
      </c>
      <c r="I7" s="22" t="str">
        <f aca="false">IF(I5="","",MAX(0,2-((I5-I6)-I$3)))</f>
        <v/>
      </c>
      <c r="J7" s="22" t="str">
        <f aca="false">IF(J5="","",MAX(0,2-((J5-J6)-J$3)))</f>
        <v/>
      </c>
      <c r="K7" s="22" t="str">
        <f aca="false">IF(K5="","",MAX(0,2-((K5-K6)-K$3)))</f>
        <v/>
      </c>
      <c r="L7" s="22" t="n">
        <f aca="false">SUM(C7:K7)</f>
        <v>0</v>
      </c>
      <c r="M7" s="22" t="str">
        <f aca="false">IF(M5="","",MAX(0,2-((M5-M6)-M$3)))</f>
        <v/>
      </c>
      <c r="N7" s="22" t="str">
        <f aca="false">IF(N5="","",MAX(0,2-((N5-N6)-N$3)))</f>
        <v/>
      </c>
      <c r="O7" s="22" t="str">
        <f aca="false">IF(O5="","",MAX(0,2-((O5-O6)-O$3)))</f>
        <v/>
      </c>
      <c r="P7" s="22" t="str">
        <f aca="false">IF(P5="","",MAX(0,2-((P5-P6)-P$3)))</f>
        <v/>
      </c>
      <c r="Q7" s="22" t="str">
        <f aca="false">IF(Q5="","",MAX(0,2-((Q5-Q6)-Q$3)))</f>
        <v/>
      </c>
      <c r="R7" s="22" t="str">
        <f aca="false">IF(R5="","",MAX(0,2-((R5-R6)-R$3)))</f>
        <v/>
      </c>
      <c r="S7" s="22" t="str">
        <f aca="false">IF(S5="","",MAX(0,2-((S5-S6)-S$3)))</f>
        <v/>
      </c>
      <c r="T7" s="22" t="str">
        <f aca="false">IF(T5="","",MAX(0,2-((T5-T6)-T$3)))</f>
        <v/>
      </c>
      <c r="U7" s="22" t="str">
        <f aca="false">IF(U5="","",MAX(0,2-((U5-U6)-U$3)))</f>
        <v/>
      </c>
      <c r="V7" s="22" t="n">
        <f aca="false">SUM(M7:U7)</f>
        <v>0</v>
      </c>
      <c r="W7" s="22" t="n">
        <f aca="false">L7+V7</f>
        <v>0</v>
      </c>
    </row>
    <row r="8" customFormat="false" ht="15" hidden="false" customHeight="true" outlineLevel="0" collapsed="false">
      <c r="A8" s="23" t="s">
        <v>77</v>
      </c>
      <c r="B8" s="24" t="n">
        <f aca="false">'Course Handicaps'!I5</f>
        <v>18</v>
      </c>
      <c r="C8" s="21"/>
      <c r="D8" s="21"/>
      <c r="E8" s="21"/>
      <c r="F8" s="21"/>
      <c r="G8" s="21"/>
      <c r="H8" s="21"/>
      <c r="I8" s="21"/>
      <c r="J8" s="21"/>
      <c r="K8" s="21"/>
      <c r="L8" s="22" t="str">
        <f aca="false">IF(COUNT(C8:K8)=0,"",SUM(C8:K8))</f>
        <v/>
      </c>
      <c r="M8" s="21"/>
      <c r="N8" s="21"/>
      <c r="O8" s="21"/>
      <c r="P8" s="21"/>
      <c r="Q8" s="21"/>
      <c r="R8" s="21"/>
      <c r="S8" s="21"/>
      <c r="T8" s="21"/>
      <c r="U8" s="21"/>
      <c r="V8" s="22" t="str">
        <f aca="false">IF(COUNT(M8:U8)=0,"",SUM(M8:U8))</f>
        <v/>
      </c>
      <c r="W8" s="22" t="str">
        <f aca="false">IF(AND(L8="",V8=""),"",SUM(L8,V8))</f>
        <v/>
      </c>
    </row>
    <row r="9" customFormat="false" ht="15" hidden="false" customHeight="true" outlineLevel="0" collapsed="false">
      <c r="A9" s="23" t="s">
        <v>78</v>
      </c>
      <c r="B9" s="5"/>
      <c r="C9" s="22" t="n">
        <f aca="false">IF($B8="","",FLOOR($B8/18,1)+IF(MOD($B8,18)&gt;=C$4,1,0))</f>
        <v>2</v>
      </c>
      <c r="D9" s="22" t="n">
        <f aca="false">IF($B8="","",FLOOR($B8/18,1)+IF(MOD($B8,18)&gt;=D$4,1,0))</f>
        <v>2</v>
      </c>
      <c r="E9" s="22" t="n">
        <f aca="false">IF($B8="","",FLOOR($B8/18,1)+IF(MOD($B8,18)&gt;=E$4,1,0))</f>
        <v>2</v>
      </c>
      <c r="F9" s="22" t="n">
        <f aca="false">IF($B8="","",FLOOR($B8/18,1)+IF(MOD($B8,18)&gt;=F$4,1,0))</f>
        <v>2</v>
      </c>
      <c r="G9" s="22" t="n">
        <f aca="false">IF($B8="","",FLOOR($B8/18,1)+IF(MOD($B8,18)&gt;=G$4,1,0))</f>
        <v>2</v>
      </c>
      <c r="H9" s="22" t="n">
        <f aca="false">IF($B8="","",FLOOR($B8/18,1)+IF(MOD($B8,18)&gt;=H$4,1,0))</f>
        <v>2</v>
      </c>
      <c r="I9" s="22" t="n">
        <f aca="false">IF($B8="","",FLOOR($B8/18,1)+IF(MOD($B8,18)&gt;=I$4,1,0))</f>
        <v>2</v>
      </c>
      <c r="J9" s="22" t="n">
        <f aca="false">IF($B8="","",FLOOR($B8/18,1)+IF(MOD($B8,18)&gt;=J$4,1,0))</f>
        <v>2</v>
      </c>
      <c r="K9" s="22" t="n">
        <f aca="false">IF($B8="","",FLOOR($B8/18,1)+IF(MOD($B8,18)&gt;=K$4,1,0))</f>
        <v>2</v>
      </c>
      <c r="L9" s="22" t="n">
        <f aca="false">IF(COUNT(C9:K9)=0,"",SUM(C9:K9))</f>
        <v>18</v>
      </c>
      <c r="M9" s="22" t="n">
        <f aca="false">IF($B8="","",FLOOR($B8/18,1)+IF(MOD($B8,18)&gt;=M$4,1,0))</f>
        <v>2</v>
      </c>
      <c r="N9" s="22" t="n">
        <f aca="false">IF($B8="","",FLOOR($B8/18,1)+IF(MOD($B8,18)&gt;=N$4,1,0))</f>
        <v>2</v>
      </c>
      <c r="O9" s="22" t="n">
        <f aca="false">IF($B8="","",FLOOR($B8/18,1)+IF(MOD($B8,18)&gt;=O$4,1,0))</f>
        <v>2</v>
      </c>
      <c r="P9" s="22" t="n">
        <f aca="false">IF($B8="","",FLOOR($B8/18,1)+IF(MOD($B8,18)&gt;=P$4,1,0))</f>
        <v>2</v>
      </c>
      <c r="Q9" s="22" t="n">
        <f aca="false">IF($B8="","",FLOOR($B8/18,1)+IF(MOD($B8,18)&gt;=Q$4,1,0))</f>
        <v>2</v>
      </c>
      <c r="R9" s="22" t="n">
        <f aca="false">IF($B8="","",FLOOR($B8/18,1)+IF(MOD($B8,18)&gt;=R$4,1,0))</f>
        <v>2</v>
      </c>
      <c r="S9" s="22" t="n">
        <f aca="false">IF($B8="","",FLOOR($B8/18,1)+IF(MOD($B8,18)&gt;=S$4,1,0))</f>
        <v>2</v>
      </c>
      <c r="T9" s="22" t="n">
        <f aca="false">IF($B8="","",FLOOR($B8/18,1)+IF(MOD($B8,18)&gt;=T$4,1,0))</f>
        <v>2</v>
      </c>
      <c r="U9" s="22" t="n">
        <f aca="false">IF($B8="","",FLOOR($B8/18,1)+IF(MOD($B8,18)&gt;=U$4,1,0))</f>
        <v>2</v>
      </c>
      <c r="V9" s="22" t="n">
        <f aca="false">IF(COUNT(M9:U9)=0,"",SUM(M9:U9))</f>
        <v>18</v>
      </c>
      <c r="W9" s="22" t="n">
        <f aca="false">IF(AND(L9="",V9=""),"",SUM(L9,V9))</f>
        <v>36</v>
      </c>
    </row>
    <row r="10" customFormat="false" ht="15" hidden="false" customHeight="true" outlineLevel="0" collapsed="false">
      <c r="A10" s="23" t="s">
        <v>79</v>
      </c>
      <c r="B10" s="5"/>
      <c r="C10" s="22" t="str">
        <f aca="false">IF(C8="","",MAX(0,2-((C8-C9)-C$3)))</f>
        <v/>
      </c>
      <c r="D10" s="22" t="str">
        <f aca="false">IF(D8="","",MAX(0,2-((D8-D9)-D$3)))</f>
        <v/>
      </c>
      <c r="E10" s="22" t="str">
        <f aca="false">IF(E8="","",MAX(0,2-((E8-E9)-E$3)))</f>
        <v/>
      </c>
      <c r="F10" s="22" t="str">
        <f aca="false">IF(F8="","",MAX(0,2-((F8-F9)-F$3)))</f>
        <v/>
      </c>
      <c r="G10" s="22" t="str">
        <f aca="false">IF(G8="","",MAX(0,2-((G8-G9)-G$3)))</f>
        <v/>
      </c>
      <c r="H10" s="22" t="str">
        <f aca="false">IF(H8="","",MAX(0,2-((H8-H9)-H$3)))</f>
        <v/>
      </c>
      <c r="I10" s="22" t="str">
        <f aca="false">IF(I8="","",MAX(0,2-((I8-I9)-I$3)))</f>
        <v/>
      </c>
      <c r="J10" s="22" t="str">
        <f aca="false">IF(J8="","",MAX(0,2-((J8-J9)-J$3)))</f>
        <v/>
      </c>
      <c r="K10" s="22" t="str">
        <f aca="false">IF(K8="","",MAX(0,2-((K8-K9)-K$3)))</f>
        <v/>
      </c>
      <c r="L10" s="22" t="n">
        <f aca="false">SUM(C10:K10)</f>
        <v>0</v>
      </c>
      <c r="M10" s="22" t="str">
        <f aca="false">IF(M8="","",MAX(0,2-((M8-M9)-M$3)))</f>
        <v/>
      </c>
      <c r="N10" s="22" t="str">
        <f aca="false">IF(N8="","",MAX(0,2-((N8-N9)-N$3)))</f>
        <v/>
      </c>
      <c r="O10" s="22" t="str">
        <f aca="false">IF(O8="","",MAX(0,2-((O8-O9)-O$3)))</f>
        <v/>
      </c>
      <c r="P10" s="22" t="str">
        <f aca="false">IF(P8="","",MAX(0,2-((P8-P9)-P$3)))</f>
        <v/>
      </c>
      <c r="Q10" s="22" t="str">
        <f aca="false">IF(Q8="","",MAX(0,2-((Q8-Q9)-Q$3)))</f>
        <v/>
      </c>
      <c r="R10" s="22" t="str">
        <f aca="false">IF(R8="","",MAX(0,2-((R8-R9)-R$3)))</f>
        <v/>
      </c>
      <c r="S10" s="22" t="str">
        <f aca="false">IF(S8="","",MAX(0,2-((S8-S9)-S$3)))</f>
        <v/>
      </c>
      <c r="T10" s="22" t="str">
        <f aca="false">IF(T8="","",MAX(0,2-((T8-T9)-T$3)))</f>
        <v/>
      </c>
      <c r="U10" s="22" t="str">
        <f aca="false">IF(U8="","",MAX(0,2-((U8-U9)-U$3)))</f>
        <v/>
      </c>
      <c r="V10" s="22" t="n">
        <f aca="false">SUM(M10:U10)</f>
        <v>0</v>
      </c>
      <c r="W10" s="22" t="n">
        <f aca="false">L10+V10</f>
        <v>0</v>
      </c>
    </row>
    <row r="11" customFormat="false" ht="15" hidden="false" customHeight="true" outlineLevel="0" collapsed="false">
      <c r="A11" s="23" t="s">
        <v>80</v>
      </c>
      <c r="B11" s="24" t="n">
        <f aca="false">'Course Handicaps'!I6</f>
        <v>14</v>
      </c>
      <c r="C11" s="21"/>
      <c r="D11" s="21"/>
      <c r="E11" s="21"/>
      <c r="F11" s="21"/>
      <c r="G11" s="21"/>
      <c r="H11" s="21"/>
      <c r="I11" s="21"/>
      <c r="J11" s="21"/>
      <c r="K11" s="21"/>
      <c r="L11" s="22" t="str">
        <f aca="false">IF(COUNT(C11:K11)=0,"",SUM(C11:K11))</f>
        <v/>
      </c>
      <c r="M11" s="21"/>
      <c r="N11" s="21"/>
      <c r="O11" s="21"/>
      <c r="P11" s="21"/>
      <c r="Q11" s="21"/>
      <c r="R11" s="21"/>
      <c r="S11" s="21"/>
      <c r="T11" s="21"/>
      <c r="U11" s="21"/>
      <c r="V11" s="22" t="str">
        <f aca="false">IF(COUNT(M11:U11)=0,"",SUM(M11:U11))</f>
        <v/>
      </c>
      <c r="W11" s="22" t="str">
        <f aca="false">IF(AND(L11="",V11=""),"",SUM(L11,V11))</f>
        <v/>
      </c>
    </row>
    <row r="12" customFormat="false" ht="15" hidden="false" customHeight="true" outlineLevel="0" collapsed="false">
      <c r="A12" s="23" t="s">
        <v>81</v>
      </c>
      <c r="B12" s="5"/>
      <c r="C12" s="22" t="n">
        <f aca="false">IF($B11="","",FLOOR($B11/18,1)+IF(MOD($B11,18)&gt;=C$4,1,0))</f>
        <v>1</v>
      </c>
      <c r="D12" s="22" t="n">
        <f aca="false">IF($B11="","",FLOOR($B11/18,1)+IF(MOD($B11,18)&gt;=D$4,1,0))</f>
        <v>1</v>
      </c>
      <c r="E12" s="22" t="n">
        <f aca="false">IF($B11="","",FLOOR($B11/18,1)+IF(MOD($B11,18)&gt;=E$4,1,0))</f>
        <v>1</v>
      </c>
      <c r="F12" s="22" t="n">
        <f aca="false">IF($B11="","",FLOOR($B11/18,1)+IF(MOD($B11,18)&gt;=F$4,1,0))</f>
        <v>1</v>
      </c>
      <c r="G12" s="22" t="n">
        <f aca="false">IF($B11="","",FLOOR($B11/18,1)+IF(MOD($B11,18)&gt;=G$4,1,0))</f>
        <v>1</v>
      </c>
      <c r="H12" s="22" t="n">
        <f aca="false">IF($B11="","",FLOOR($B11/18,1)+IF(MOD($B11,18)&gt;=H$4,1,0))</f>
        <v>1</v>
      </c>
      <c r="I12" s="22" t="n">
        <f aca="false">IF($B11="","",FLOOR($B11/18,1)+IF(MOD($B11,18)&gt;=I$4,1,0))</f>
        <v>1</v>
      </c>
      <c r="J12" s="22" t="n">
        <f aca="false">IF($B11="","",FLOOR($B11/18,1)+IF(MOD($B11,18)&gt;=J$4,1,0))</f>
        <v>1</v>
      </c>
      <c r="K12" s="22" t="n">
        <f aca="false">IF($B11="","",FLOOR($B11/18,1)+IF(MOD($B11,18)&gt;=K$4,1,0))</f>
        <v>1</v>
      </c>
      <c r="L12" s="22" t="n">
        <f aca="false">IF(COUNT(C12:K12)=0,"",SUM(C12:K12))</f>
        <v>9</v>
      </c>
      <c r="M12" s="22" t="n">
        <f aca="false">IF($B11="","",FLOOR($B11/18,1)+IF(MOD($B11,18)&gt;=M$4,1,0))</f>
        <v>1</v>
      </c>
      <c r="N12" s="22" t="n">
        <f aca="false">IF($B11="","",FLOOR($B11/18,1)+IF(MOD($B11,18)&gt;=N$4,1,0))</f>
        <v>1</v>
      </c>
      <c r="O12" s="22" t="n">
        <f aca="false">IF($B11="","",FLOOR($B11/18,1)+IF(MOD($B11,18)&gt;=O$4,1,0))</f>
        <v>1</v>
      </c>
      <c r="P12" s="22" t="n">
        <f aca="false">IF($B11="","",FLOOR($B11/18,1)+IF(MOD($B11,18)&gt;=P$4,1,0))</f>
        <v>1</v>
      </c>
      <c r="Q12" s="22" t="n">
        <f aca="false">IF($B11="","",FLOOR($B11/18,1)+IF(MOD($B11,18)&gt;=Q$4,1,0))</f>
        <v>1</v>
      </c>
      <c r="R12" s="22" t="n">
        <f aca="false">IF($B11="","",FLOOR($B11/18,1)+IF(MOD($B11,18)&gt;=R$4,1,0))</f>
        <v>1</v>
      </c>
      <c r="S12" s="22" t="n">
        <f aca="false">IF($B11="","",FLOOR($B11/18,1)+IF(MOD($B11,18)&gt;=S$4,1,0))</f>
        <v>1</v>
      </c>
      <c r="T12" s="22" t="n">
        <f aca="false">IF($B11="","",FLOOR($B11/18,1)+IF(MOD($B11,18)&gt;=T$4,1,0))</f>
        <v>1</v>
      </c>
      <c r="U12" s="22" t="n">
        <f aca="false">IF($B11="","",FLOOR($B11/18,1)+IF(MOD($B11,18)&gt;=U$4,1,0))</f>
        <v>1</v>
      </c>
      <c r="V12" s="22" t="n">
        <f aca="false">IF(COUNT(M12:U12)=0,"",SUM(M12:U12))</f>
        <v>9</v>
      </c>
      <c r="W12" s="22" t="n">
        <f aca="false">IF(AND(L12="",V12=""),"",SUM(L12,V12))</f>
        <v>18</v>
      </c>
    </row>
    <row r="13" customFormat="false" ht="15" hidden="false" customHeight="true" outlineLevel="0" collapsed="false">
      <c r="A13" s="23" t="s">
        <v>82</v>
      </c>
      <c r="B13" s="5"/>
      <c r="C13" s="22" t="str">
        <f aca="false">IF(C11="","",MAX(0,2-((C11-C12)-C$3)))</f>
        <v/>
      </c>
      <c r="D13" s="22" t="str">
        <f aca="false">IF(D11="","",MAX(0,2-((D11-D12)-D$3)))</f>
        <v/>
      </c>
      <c r="E13" s="22" t="str">
        <f aca="false">IF(E11="","",MAX(0,2-((E11-E12)-E$3)))</f>
        <v/>
      </c>
      <c r="F13" s="22" t="str">
        <f aca="false">IF(F11="","",MAX(0,2-((F11-F12)-F$3)))</f>
        <v/>
      </c>
      <c r="G13" s="22" t="str">
        <f aca="false">IF(G11="","",MAX(0,2-((G11-G12)-G$3)))</f>
        <v/>
      </c>
      <c r="H13" s="22" t="str">
        <f aca="false">IF(H11="","",MAX(0,2-((H11-H12)-H$3)))</f>
        <v/>
      </c>
      <c r="I13" s="22" t="str">
        <f aca="false">IF(I11="","",MAX(0,2-((I11-I12)-I$3)))</f>
        <v/>
      </c>
      <c r="J13" s="22" t="str">
        <f aca="false">IF(J11="","",MAX(0,2-((J11-J12)-J$3)))</f>
        <v/>
      </c>
      <c r="K13" s="22" t="str">
        <f aca="false">IF(K11="","",MAX(0,2-((K11-K12)-K$3)))</f>
        <v/>
      </c>
      <c r="L13" s="22" t="n">
        <f aca="false">SUM(C13:K13)</f>
        <v>0</v>
      </c>
      <c r="M13" s="22" t="str">
        <f aca="false">IF(M11="","",MAX(0,2-((M11-M12)-M$3)))</f>
        <v/>
      </c>
      <c r="N13" s="22" t="str">
        <f aca="false">IF(N11="","",MAX(0,2-((N11-N12)-N$3)))</f>
        <v/>
      </c>
      <c r="O13" s="22" t="str">
        <f aca="false">IF(O11="","",MAX(0,2-((O11-O12)-O$3)))</f>
        <v/>
      </c>
      <c r="P13" s="22" t="str">
        <f aca="false">IF(P11="","",MAX(0,2-((P11-P12)-P$3)))</f>
        <v/>
      </c>
      <c r="Q13" s="22" t="str">
        <f aca="false">IF(Q11="","",MAX(0,2-((Q11-Q12)-Q$3)))</f>
        <v/>
      </c>
      <c r="R13" s="22" t="str">
        <f aca="false">IF(R11="","",MAX(0,2-((R11-R12)-R$3)))</f>
        <v/>
      </c>
      <c r="S13" s="22" t="str">
        <f aca="false">IF(S11="","",MAX(0,2-((S11-S12)-S$3)))</f>
        <v/>
      </c>
      <c r="T13" s="22" t="str">
        <f aca="false">IF(T11="","",MAX(0,2-((T11-T12)-T$3)))</f>
        <v/>
      </c>
      <c r="U13" s="22" t="str">
        <f aca="false">IF(U11="","",MAX(0,2-((U11-U12)-U$3)))</f>
        <v/>
      </c>
      <c r="V13" s="22" t="n">
        <f aca="false">SUM(M13:U13)</f>
        <v>0</v>
      </c>
      <c r="W13" s="22" t="n">
        <f aca="false">L13+V13</f>
        <v>0</v>
      </c>
    </row>
    <row r="14" customFormat="false" ht="15" hidden="false" customHeight="true" outlineLevel="0" collapsed="false">
      <c r="A14" s="23" t="s">
        <v>83</v>
      </c>
      <c r="B14" s="24" t="n">
        <f aca="false">'Course Handicaps'!I7</f>
        <v>25</v>
      </c>
      <c r="C14" s="21"/>
      <c r="D14" s="21"/>
      <c r="E14" s="21"/>
      <c r="F14" s="21"/>
      <c r="G14" s="21"/>
      <c r="H14" s="21"/>
      <c r="I14" s="21"/>
      <c r="J14" s="21"/>
      <c r="K14" s="21"/>
      <c r="L14" s="22" t="str">
        <f aca="false">IF(COUNT(C14:K14)=0,"",SUM(C14:K14))</f>
        <v/>
      </c>
      <c r="M14" s="21"/>
      <c r="N14" s="21"/>
      <c r="O14" s="21"/>
      <c r="P14" s="21"/>
      <c r="Q14" s="21"/>
      <c r="R14" s="21"/>
      <c r="S14" s="21"/>
      <c r="T14" s="21"/>
      <c r="U14" s="21"/>
      <c r="V14" s="22" t="str">
        <f aca="false">IF(COUNT(M14:U14)=0,"",SUM(M14:U14))</f>
        <v/>
      </c>
      <c r="W14" s="22" t="str">
        <f aca="false">IF(AND(L14="",V14=""),"",SUM(L14,V14))</f>
        <v/>
      </c>
    </row>
    <row r="15" customFormat="false" ht="15" hidden="false" customHeight="true" outlineLevel="0" collapsed="false">
      <c r="A15" s="23" t="s">
        <v>84</v>
      </c>
      <c r="B15" s="5"/>
      <c r="C15" s="22" t="n">
        <f aca="false">IF($B14="","",FLOOR($B14/18,1)+IF(MOD($B14,18)&gt;=C$4,1,0))</f>
        <v>2</v>
      </c>
      <c r="D15" s="22" t="n">
        <f aca="false">IF($B14="","",FLOOR($B14/18,1)+IF(MOD($B14,18)&gt;=D$4,1,0))</f>
        <v>2</v>
      </c>
      <c r="E15" s="22" t="n">
        <f aca="false">IF($B14="","",FLOOR($B14/18,1)+IF(MOD($B14,18)&gt;=E$4,1,0))</f>
        <v>2</v>
      </c>
      <c r="F15" s="22" t="n">
        <f aca="false">IF($B14="","",FLOOR($B14/18,1)+IF(MOD($B14,18)&gt;=F$4,1,0))</f>
        <v>2</v>
      </c>
      <c r="G15" s="22" t="n">
        <f aca="false">IF($B14="","",FLOOR($B14/18,1)+IF(MOD($B14,18)&gt;=G$4,1,0))</f>
        <v>2</v>
      </c>
      <c r="H15" s="22" t="n">
        <f aca="false">IF($B14="","",FLOOR($B14/18,1)+IF(MOD($B14,18)&gt;=H$4,1,0))</f>
        <v>2</v>
      </c>
      <c r="I15" s="22" t="n">
        <f aca="false">IF($B14="","",FLOOR($B14/18,1)+IF(MOD($B14,18)&gt;=I$4,1,0))</f>
        <v>2</v>
      </c>
      <c r="J15" s="22" t="n">
        <f aca="false">IF($B14="","",FLOOR($B14/18,1)+IF(MOD($B14,18)&gt;=J$4,1,0))</f>
        <v>2</v>
      </c>
      <c r="K15" s="22" t="n">
        <f aca="false">IF($B14="","",FLOOR($B14/18,1)+IF(MOD($B14,18)&gt;=K$4,1,0))</f>
        <v>2</v>
      </c>
      <c r="L15" s="22" t="n">
        <f aca="false">IF(COUNT(C15:K15)=0,"",SUM(C15:K15))</f>
        <v>18</v>
      </c>
      <c r="M15" s="22" t="n">
        <f aca="false">IF($B14="","",FLOOR($B14/18,1)+IF(MOD($B14,18)&gt;=M$4,1,0))</f>
        <v>2</v>
      </c>
      <c r="N15" s="22" t="n">
        <f aca="false">IF($B14="","",FLOOR($B14/18,1)+IF(MOD($B14,18)&gt;=N$4,1,0))</f>
        <v>2</v>
      </c>
      <c r="O15" s="22" t="n">
        <f aca="false">IF($B14="","",FLOOR($B14/18,1)+IF(MOD($B14,18)&gt;=O$4,1,0))</f>
        <v>2</v>
      </c>
      <c r="P15" s="22" t="n">
        <f aca="false">IF($B14="","",FLOOR($B14/18,1)+IF(MOD($B14,18)&gt;=P$4,1,0))</f>
        <v>2</v>
      </c>
      <c r="Q15" s="22" t="n">
        <f aca="false">IF($B14="","",FLOOR($B14/18,1)+IF(MOD($B14,18)&gt;=Q$4,1,0))</f>
        <v>2</v>
      </c>
      <c r="R15" s="22" t="n">
        <f aca="false">IF($B14="","",FLOOR($B14/18,1)+IF(MOD($B14,18)&gt;=R$4,1,0))</f>
        <v>2</v>
      </c>
      <c r="S15" s="22" t="n">
        <f aca="false">IF($B14="","",FLOOR($B14/18,1)+IF(MOD($B14,18)&gt;=S$4,1,0))</f>
        <v>2</v>
      </c>
      <c r="T15" s="22" t="n">
        <f aca="false">IF($B14="","",FLOOR($B14/18,1)+IF(MOD($B14,18)&gt;=T$4,1,0))</f>
        <v>2</v>
      </c>
      <c r="U15" s="22" t="n">
        <f aca="false">IF($B14="","",FLOOR($B14/18,1)+IF(MOD($B14,18)&gt;=U$4,1,0))</f>
        <v>2</v>
      </c>
      <c r="V15" s="22" t="n">
        <f aca="false">IF(COUNT(M15:U15)=0,"",SUM(M15:U15))</f>
        <v>18</v>
      </c>
      <c r="W15" s="22" t="n">
        <f aca="false">IF(AND(L15="",V15=""),"",SUM(L15,V15))</f>
        <v>36</v>
      </c>
    </row>
    <row r="16" customFormat="false" ht="15" hidden="false" customHeight="true" outlineLevel="0" collapsed="false">
      <c r="A16" s="23" t="s">
        <v>85</v>
      </c>
      <c r="B16" s="5"/>
      <c r="C16" s="22" t="str">
        <f aca="false">IF(C14="","",MAX(0,2-((C14-C15)-C$3)))</f>
        <v/>
      </c>
      <c r="D16" s="22" t="str">
        <f aca="false">IF(D14="","",MAX(0,2-((D14-D15)-D$3)))</f>
        <v/>
      </c>
      <c r="E16" s="22" t="str">
        <f aca="false">IF(E14="","",MAX(0,2-((E14-E15)-E$3)))</f>
        <v/>
      </c>
      <c r="F16" s="22" t="str">
        <f aca="false">IF(F14="","",MAX(0,2-((F14-F15)-F$3)))</f>
        <v/>
      </c>
      <c r="G16" s="22" t="str">
        <f aca="false">IF(G14="","",MAX(0,2-((G14-G15)-G$3)))</f>
        <v/>
      </c>
      <c r="H16" s="22" t="str">
        <f aca="false">IF(H14="","",MAX(0,2-((H14-H15)-H$3)))</f>
        <v/>
      </c>
      <c r="I16" s="22" t="str">
        <f aca="false">IF(I14="","",MAX(0,2-((I14-I15)-I$3)))</f>
        <v/>
      </c>
      <c r="J16" s="22" t="str">
        <f aca="false">IF(J14="","",MAX(0,2-((J14-J15)-J$3)))</f>
        <v/>
      </c>
      <c r="K16" s="22" t="str">
        <f aca="false">IF(K14="","",MAX(0,2-((K14-K15)-K$3)))</f>
        <v/>
      </c>
      <c r="L16" s="22" t="n">
        <f aca="false">SUM(C16:K16)</f>
        <v>0</v>
      </c>
      <c r="M16" s="22" t="str">
        <f aca="false">IF(M14="","",MAX(0,2-((M14-M15)-M$3)))</f>
        <v/>
      </c>
      <c r="N16" s="22" t="str">
        <f aca="false">IF(N14="","",MAX(0,2-((N14-N15)-N$3)))</f>
        <v/>
      </c>
      <c r="O16" s="22" t="str">
        <f aca="false">IF(O14="","",MAX(0,2-((O14-O15)-O$3)))</f>
        <v/>
      </c>
      <c r="P16" s="22" t="str">
        <f aca="false">IF(P14="","",MAX(0,2-((P14-P15)-P$3)))</f>
        <v/>
      </c>
      <c r="Q16" s="22" t="str">
        <f aca="false">IF(Q14="","",MAX(0,2-((Q14-Q15)-Q$3)))</f>
        <v/>
      </c>
      <c r="R16" s="22" t="str">
        <f aca="false">IF(R14="","",MAX(0,2-((R14-R15)-R$3)))</f>
        <v/>
      </c>
      <c r="S16" s="22" t="str">
        <f aca="false">IF(S14="","",MAX(0,2-((S14-S15)-S$3)))</f>
        <v/>
      </c>
      <c r="T16" s="22" t="str">
        <f aca="false">IF(T14="","",MAX(0,2-((T14-T15)-T$3)))</f>
        <v/>
      </c>
      <c r="U16" s="22" t="str">
        <f aca="false">IF(U14="","",MAX(0,2-((U14-U15)-U$3)))</f>
        <v/>
      </c>
      <c r="V16" s="22" t="n">
        <f aca="false">SUM(M16:U16)</f>
        <v>0</v>
      </c>
      <c r="W16" s="22" t="n">
        <f aca="false">L16+V16</f>
        <v>0</v>
      </c>
    </row>
    <row r="17" customFormat="false" ht="15" hidden="false" customHeight="true" outlineLevel="0" collapsed="false">
      <c r="A17" s="23" t="s">
        <v>86</v>
      </c>
      <c r="B17" s="24" t="n">
        <f aca="false">'Course Handicaps'!I8</f>
        <v>28</v>
      </c>
      <c r="C17" s="21"/>
      <c r="D17" s="21"/>
      <c r="E17" s="21"/>
      <c r="F17" s="21"/>
      <c r="G17" s="21"/>
      <c r="H17" s="21"/>
      <c r="I17" s="21"/>
      <c r="J17" s="21"/>
      <c r="K17" s="21"/>
      <c r="L17" s="22" t="str">
        <f aca="false">IF(COUNT(C17:K17)=0,"",SUM(C17:K17))</f>
        <v/>
      </c>
      <c r="M17" s="21"/>
      <c r="N17" s="21"/>
      <c r="O17" s="21"/>
      <c r="P17" s="21"/>
      <c r="Q17" s="21"/>
      <c r="R17" s="21"/>
      <c r="S17" s="21"/>
      <c r="T17" s="21"/>
      <c r="U17" s="21"/>
      <c r="V17" s="22" t="str">
        <f aca="false">IF(COUNT(M17:U17)=0,"",SUM(M17:U17))</f>
        <v/>
      </c>
      <c r="W17" s="22" t="str">
        <f aca="false">IF(AND(L17="",V17=""),"",SUM(L17,V17))</f>
        <v/>
      </c>
    </row>
    <row r="18" customFormat="false" ht="15" hidden="false" customHeight="true" outlineLevel="0" collapsed="false">
      <c r="A18" s="23" t="s">
        <v>87</v>
      </c>
      <c r="B18" s="5"/>
      <c r="C18" s="22" t="n">
        <f aca="false">IF($B17="","",FLOOR($B17/18,1)+IF(MOD($B17,18)&gt;=C$4,1,0))</f>
        <v>2</v>
      </c>
      <c r="D18" s="22" t="n">
        <f aca="false">IF($B17="","",FLOOR($B17/18,1)+IF(MOD($B17,18)&gt;=D$4,1,0))</f>
        <v>2</v>
      </c>
      <c r="E18" s="22" t="n">
        <f aca="false">IF($B17="","",FLOOR($B17/18,1)+IF(MOD($B17,18)&gt;=E$4,1,0))</f>
        <v>2</v>
      </c>
      <c r="F18" s="22" t="n">
        <f aca="false">IF($B17="","",FLOOR($B17/18,1)+IF(MOD($B17,18)&gt;=F$4,1,0))</f>
        <v>2</v>
      </c>
      <c r="G18" s="22" t="n">
        <f aca="false">IF($B17="","",FLOOR($B17/18,1)+IF(MOD($B17,18)&gt;=G$4,1,0))</f>
        <v>2</v>
      </c>
      <c r="H18" s="22" t="n">
        <f aca="false">IF($B17="","",FLOOR($B17/18,1)+IF(MOD($B17,18)&gt;=H$4,1,0))</f>
        <v>2</v>
      </c>
      <c r="I18" s="22" t="n">
        <f aca="false">IF($B17="","",FLOOR($B17/18,1)+IF(MOD($B17,18)&gt;=I$4,1,0))</f>
        <v>2</v>
      </c>
      <c r="J18" s="22" t="n">
        <f aca="false">IF($B17="","",FLOOR($B17/18,1)+IF(MOD($B17,18)&gt;=J$4,1,0))</f>
        <v>2</v>
      </c>
      <c r="K18" s="22" t="n">
        <f aca="false">IF($B17="","",FLOOR($B17/18,1)+IF(MOD($B17,18)&gt;=K$4,1,0))</f>
        <v>2</v>
      </c>
      <c r="L18" s="22" t="n">
        <f aca="false">IF(COUNT(C18:K18)=0,"",SUM(C18:K18))</f>
        <v>18</v>
      </c>
      <c r="M18" s="22" t="n">
        <f aca="false">IF($B17="","",FLOOR($B17/18,1)+IF(MOD($B17,18)&gt;=M$4,1,0))</f>
        <v>2</v>
      </c>
      <c r="N18" s="22" t="n">
        <f aca="false">IF($B17="","",FLOOR($B17/18,1)+IF(MOD($B17,18)&gt;=N$4,1,0))</f>
        <v>2</v>
      </c>
      <c r="O18" s="22" t="n">
        <f aca="false">IF($B17="","",FLOOR($B17/18,1)+IF(MOD($B17,18)&gt;=O$4,1,0))</f>
        <v>2</v>
      </c>
      <c r="P18" s="22" t="n">
        <f aca="false">IF($B17="","",FLOOR($B17/18,1)+IF(MOD($B17,18)&gt;=P$4,1,0))</f>
        <v>2</v>
      </c>
      <c r="Q18" s="22" t="n">
        <f aca="false">IF($B17="","",FLOOR($B17/18,1)+IF(MOD($B17,18)&gt;=Q$4,1,0))</f>
        <v>2</v>
      </c>
      <c r="R18" s="22" t="n">
        <f aca="false">IF($B17="","",FLOOR($B17/18,1)+IF(MOD($B17,18)&gt;=R$4,1,0))</f>
        <v>2</v>
      </c>
      <c r="S18" s="22" t="n">
        <f aca="false">IF($B17="","",FLOOR($B17/18,1)+IF(MOD($B17,18)&gt;=S$4,1,0))</f>
        <v>2</v>
      </c>
      <c r="T18" s="22" t="n">
        <f aca="false">IF($B17="","",FLOOR($B17/18,1)+IF(MOD($B17,18)&gt;=T$4,1,0))</f>
        <v>2</v>
      </c>
      <c r="U18" s="22" t="n">
        <f aca="false">IF($B17="","",FLOOR($B17/18,1)+IF(MOD($B17,18)&gt;=U$4,1,0))</f>
        <v>2</v>
      </c>
      <c r="V18" s="22" t="n">
        <f aca="false">IF(COUNT(M18:U18)=0,"",SUM(M18:U18))</f>
        <v>18</v>
      </c>
      <c r="W18" s="22" t="n">
        <f aca="false">IF(AND(L18="",V18=""),"",SUM(L18,V18))</f>
        <v>36</v>
      </c>
    </row>
    <row r="19" customFormat="false" ht="15" hidden="false" customHeight="true" outlineLevel="0" collapsed="false">
      <c r="A19" s="23" t="s">
        <v>88</v>
      </c>
      <c r="B19" s="5"/>
      <c r="C19" s="22" t="str">
        <f aca="false">IF(C17="","",MAX(0,2-((C17-C18)-C$3)))</f>
        <v/>
      </c>
      <c r="D19" s="22" t="str">
        <f aca="false">IF(D17="","",MAX(0,2-((D17-D18)-D$3)))</f>
        <v/>
      </c>
      <c r="E19" s="22" t="str">
        <f aca="false">IF(E17="","",MAX(0,2-((E17-E18)-E$3)))</f>
        <v/>
      </c>
      <c r="F19" s="22" t="str">
        <f aca="false">IF(F17="","",MAX(0,2-((F17-F18)-F$3)))</f>
        <v/>
      </c>
      <c r="G19" s="22" t="str">
        <f aca="false">IF(G17="","",MAX(0,2-((G17-G18)-G$3)))</f>
        <v/>
      </c>
      <c r="H19" s="22" t="str">
        <f aca="false">IF(H17="","",MAX(0,2-((H17-H18)-H$3)))</f>
        <v/>
      </c>
      <c r="I19" s="22" t="str">
        <f aca="false">IF(I17="","",MAX(0,2-((I17-I18)-I$3)))</f>
        <v/>
      </c>
      <c r="J19" s="22" t="str">
        <f aca="false">IF(J17="","",MAX(0,2-((J17-J18)-J$3)))</f>
        <v/>
      </c>
      <c r="K19" s="22" t="str">
        <f aca="false">IF(K17="","",MAX(0,2-((K17-K18)-K$3)))</f>
        <v/>
      </c>
      <c r="L19" s="22" t="n">
        <f aca="false">SUM(C19:K19)</f>
        <v>0</v>
      </c>
      <c r="M19" s="22" t="str">
        <f aca="false">IF(M17="","",MAX(0,2-((M17-M18)-M$3)))</f>
        <v/>
      </c>
      <c r="N19" s="22" t="str">
        <f aca="false">IF(N17="","",MAX(0,2-((N17-N18)-N$3)))</f>
        <v/>
      </c>
      <c r="O19" s="22" t="str">
        <f aca="false">IF(O17="","",MAX(0,2-((O17-O18)-O$3)))</f>
        <v/>
      </c>
      <c r="P19" s="22" t="str">
        <f aca="false">IF(P17="","",MAX(0,2-((P17-P18)-P$3)))</f>
        <v/>
      </c>
      <c r="Q19" s="22" t="str">
        <f aca="false">IF(Q17="","",MAX(0,2-((Q17-Q18)-Q$3)))</f>
        <v/>
      </c>
      <c r="R19" s="22" t="str">
        <f aca="false">IF(R17="","",MAX(0,2-((R17-R18)-R$3)))</f>
        <v/>
      </c>
      <c r="S19" s="22" t="str">
        <f aca="false">IF(S17="","",MAX(0,2-((S17-S18)-S$3)))</f>
        <v/>
      </c>
      <c r="T19" s="22" t="str">
        <f aca="false">IF(T17="","",MAX(0,2-((T17-T18)-T$3)))</f>
        <v/>
      </c>
      <c r="U19" s="22" t="str">
        <f aca="false">IF(U17="","",MAX(0,2-((U17-U18)-U$3)))</f>
        <v/>
      </c>
      <c r="V19" s="22" t="n">
        <f aca="false">SUM(M19:U19)</f>
        <v>0</v>
      </c>
      <c r="W19" s="22" t="n">
        <f aca="false">L19+V19</f>
        <v>0</v>
      </c>
    </row>
    <row r="20" customFormat="false" ht="15" hidden="false" customHeight="true" outlineLevel="0" collapsed="false">
      <c r="A20" s="23" t="s">
        <v>89</v>
      </c>
      <c r="B20" s="24" t="n">
        <f aca="false">'Course Handicaps'!I9</f>
        <v>20</v>
      </c>
      <c r="C20" s="21"/>
      <c r="D20" s="21"/>
      <c r="E20" s="21"/>
      <c r="F20" s="21"/>
      <c r="G20" s="21"/>
      <c r="H20" s="21"/>
      <c r="I20" s="21"/>
      <c r="J20" s="21"/>
      <c r="K20" s="21"/>
      <c r="L20" s="22" t="str">
        <f aca="false">IF(COUNT(C20:K20)=0,"",SUM(C20:K20))</f>
        <v/>
      </c>
      <c r="M20" s="21"/>
      <c r="N20" s="21"/>
      <c r="O20" s="21"/>
      <c r="P20" s="21"/>
      <c r="Q20" s="21"/>
      <c r="R20" s="21"/>
      <c r="S20" s="21"/>
      <c r="T20" s="21"/>
      <c r="U20" s="21"/>
      <c r="V20" s="22" t="str">
        <f aca="false">IF(COUNT(M20:U20)=0,"",SUM(M20:U20))</f>
        <v/>
      </c>
      <c r="W20" s="22" t="str">
        <f aca="false">IF(AND(L20="",V20=""),"",SUM(L20,V20))</f>
        <v/>
      </c>
    </row>
    <row r="21" customFormat="false" ht="15" hidden="false" customHeight="true" outlineLevel="0" collapsed="false">
      <c r="A21" s="23" t="s">
        <v>90</v>
      </c>
      <c r="B21" s="5"/>
      <c r="C21" s="22" t="n">
        <f aca="false">IF($B20="","",FLOOR($B20/18,1)+IF(MOD($B20,18)&gt;=C$4,1,0))</f>
        <v>2</v>
      </c>
      <c r="D21" s="22" t="n">
        <f aca="false">IF($B20="","",FLOOR($B20/18,1)+IF(MOD($B20,18)&gt;=D$4,1,0))</f>
        <v>2</v>
      </c>
      <c r="E21" s="22" t="n">
        <f aca="false">IF($B20="","",FLOOR($B20/18,1)+IF(MOD($B20,18)&gt;=E$4,1,0))</f>
        <v>2</v>
      </c>
      <c r="F21" s="22" t="n">
        <f aca="false">IF($B20="","",FLOOR($B20/18,1)+IF(MOD($B20,18)&gt;=F$4,1,0))</f>
        <v>2</v>
      </c>
      <c r="G21" s="22" t="n">
        <f aca="false">IF($B20="","",FLOOR($B20/18,1)+IF(MOD($B20,18)&gt;=G$4,1,0))</f>
        <v>2</v>
      </c>
      <c r="H21" s="22" t="n">
        <f aca="false">IF($B20="","",FLOOR($B20/18,1)+IF(MOD($B20,18)&gt;=H$4,1,0))</f>
        <v>2</v>
      </c>
      <c r="I21" s="22" t="n">
        <f aca="false">IF($B20="","",FLOOR($B20/18,1)+IF(MOD($B20,18)&gt;=I$4,1,0))</f>
        <v>2</v>
      </c>
      <c r="J21" s="22" t="n">
        <f aca="false">IF($B20="","",FLOOR($B20/18,1)+IF(MOD($B20,18)&gt;=J$4,1,0))</f>
        <v>2</v>
      </c>
      <c r="K21" s="22" t="n">
        <f aca="false">IF($B20="","",FLOOR($B20/18,1)+IF(MOD($B20,18)&gt;=K$4,1,0))</f>
        <v>2</v>
      </c>
      <c r="L21" s="22" t="n">
        <f aca="false">IF(COUNT(C21:K21)=0,"",SUM(C21:K21))</f>
        <v>18</v>
      </c>
      <c r="M21" s="22" t="n">
        <f aca="false">IF($B20="","",FLOOR($B20/18,1)+IF(MOD($B20,18)&gt;=M$4,1,0))</f>
        <v>2</v>
      </c>
      <c r="N21" s="22" t="n">
        <f aca="false">IF($B20="","",FLOOR($B20/18,1)+IF(MOD($B20,18)&gt;=N$4,1,0))</f>
        <v>2</v>
      </c>
      <c r="O21" s="22" t="n">
        <f aca="false">IF($B20="","",FLOOR($B20/18,1)+IF(MOD($B20,18)&gt;=O$4,1,0))</f>
        <v>2</v>
      </c>
      <c r="P21" s="22" t="n">
        <f aca="false">IF($B20="","",FLOOR($B20/18,1)+IF(MOD($B20,18)&gt;=P$4,1,0))</f>
        <v>2</v>
      </c>
      <c r="Q21" s="22" t="n">
        <f aca="false">IF($B20="","",FLOOR($B20/18,1)+IF(MOD($B20,18)&gt;=Q$4,1,0))</f>
        <v>2</v>
      </c>
      <c r="R21" s="22" t="n">
        <f aca="false">IF($B20="","",FLOOR($B20/18,1)+IF(MOD($B20,18)&gt;=R$4,1,0))</f>
        <v>2</v>
      </c>
      <c r="S21" s="22" t="n">
        <f aca="false">IF($B20="","",FLOOR($B20/18,1)+IF(MOD($B20,18)&gt;=S$4,1,0))</f>
        <v>2</v>
      </c>
      <c r="T21" s="22" t="n">
        <f aca="false">IF($B20="","",FLOOR($B20/18,1)+IF(MOD($B20,18)&gt;=T$4,1,0))</f>
        <v>2</v>
      </c>
      <c r="U21" s="22" t="n">
        <f aca="false">IF($B20="","",FLOOR($B20/18,1)+IF(MOD($B20,18)&gt;=U$4,1,0))</f>
        <v>2</v>
      </c>
      <c r="V21" s="22" t="n">
        <f aca="false">IF(COUNT(M21:U21)=0,"",SUM(M21:U21))</f>
        <v>18</v>
      </c>
      <c r="W21" s="22" t="n">
        <f aca="false">IF(AND(L21="",V21=""),"",SUM(L21,V21))</f>
        <v>36</v>
      </c>
    </row>
    <row r="22" customFormat="false" ht="15" hidden="false" customHeight="true" outlineLevel="0" collapsed="false">
      <c r="A22" s="23" t="s">
        <v>91</v>
      </c>
      <c r="B22" s="5"/>
      <c r="C22" s="22" t="str">
        <f aca="false">IF(C20="","",MAX(0,2-((C20-C21)-C$3)))</f>
        <v/>
      </c>
      <c r="D22" s="22" t="str">
        <f aca="false">IF(D20="","",MAX(0,2-((D20-D21)-D$3)))</f>
        <v/>
      </c>
      <c r="E22" s="22" t="str">
        <f aca="false">IF(E20="","",MAX(0,2-((E20-E21)-E$3)))</f>
        <v/>
      </c>
      <c r="F22" s="22" t="str">
        <f aca="false">IF(F20="","",MAX(0,2-((F20-F21)-F$3)))</f>
        <v/>
      </c>
      <c r="G22" s="22" t="str">
        <f aca="false">IF(G20="","",MAX(0,2-((G20-G21)-G$3)))</f>
        <v/>
      </c>
      <c r="H22" s="22" t="str">
        <f aca="false">IF(H20="","",MAX(0,2-((H20-H21)-H$3)))</f>
        <v/>
      </c>
      <c r="I22" s="22" t="str">
        <f aca="false">IF(I20="","",MAX(0,2-((I20-I21)-I$3)))</f>
        <v/>
      </c>
      <c r="J22" s="22" t="str">
        <f aca="false">IF(J20="","",MAX(0,2-((J20-J21)-J$3)))</f>
        <v/>
      </c>
      <c r="K22" s="22" t="str">
        <f aca="false">IF(K20="","",MAX(0,2-((K20-K21)-K$3)))</f>
        <v/>
      </c>
      <c r="L22" s="22" t="n">
        <f aca="false">SUM(C22:K22)</f>
        <v>0</v>
      </c>
      <c r="M22" s="22" t="str">
        <f aca="false">IF(M20="","",MAX(0,2-((M20-M21)-M$3)))</f>
        <v/>
      </c>
      <c r="N22" s="22" t="str">
        <f aca="false">IF(N20="","",MAX(0,2-((N20-N21)-N$3)))</f>
        <v/>
      </c>
      <c r="O22" s="22" t="str">
        <f aca="false">IF(O20="","",MAX(0,2-((O20-O21)-O$3)))</f>
        <v/>
      </c>
      <c r="P22" s="22" t="str">
        <f aca="false">IF(P20="","",MAX(0,2-((P20-P21)-P$3)))</f>
        <v/>
      </c>
      <c r="Q22" s="22" t="str">
        <f aca="false">IF(Q20="","",MAX(0,2-((Q20-Q21)-Q$3)))</f>
        <v/>
      </c>
      <c r="R22" s="22" t="str">
        <f aca="false">IF(R20="","",MAX(0,2-((R20-R21)-R$3)))</f>
        <v/>
      </c>
      <c r="S22" s="22" t="str">
        <f aca="false">IF(S20="","",MAX(0,2-((S20-S21)-S$3)))</f>
        <v/>
      </c>
      <c r="T22" s="22" t="str">
        <f aca="false">IF(T20="","",MAX(0,2-((T20-T21)-T$3)))</f>
        <v/>
      </c>
      <c r="U22" s="22" t="str">
        <f aca="false">IF(U20="","",MAX(0,2-((U20-U21)-U$3)))</f>
        <v/>
      </c>
      <c r="V22" s="22" t="n">
        <f aca="false">SUM(M22:U22)</f>
        <v>0</v>
      </c>
      <c r="W22" s="22" t="n">
        <f aca="false">L22+V22</f>
        <v>0</v>
      </c>
    </row>
    <row r="23" customFormat="false" ht="15" hidden="false" customHeight="true" outlineLevel="0" collapsed="false">
      <c r="A23" s="23" t="s">
        <v>92</v>
      </c>
      <c r="B23" s="24" t="n">
        <f aca="false">'Course Handicaps'!I10</f>
        <v>17</v>
      </c>
      <c r="C23" s="21"/>
      <c r="D23" s="21"/>
      <c r="E23" s="21"/>
      <c r="F23" s="21"/>
      <c r="G23" s="21"/>
      <c r="H23" s="21"/>
      <c r="I23" s="21"/>
      <c r="J23" s="21"/>
      <c r="K23" s="21"/>
      <c r="L23" s="22" t="str">
        <f aca="false">IF(COUNT(C23:K23)=0,"",SUM(C23:K23))</f>
        <v/>
      </c>
      <c r="M23" s="21"/>
      <c r="N23" s="21"/>
      <c r="O23" s="21"/>
      <c r="P23" s="21"/>
      <c r="Q23" s="21"/>
      <c r="R23" s="21"/>
      <c r="S23" s="21"/>
      <c r="T23" s="21"/>
      <c r="U23" s="21"/>
      <c r="V23" s="22" t="str">
        <f aca="false">IF(COUNT(M23:U23)=0,"",SUM(M23:U23))</f>
        <v/>
      </c>
      <c r="W23" s="22" t="str">
        <f aca="false">IF(AND(L23="",V23=""),"",SUM(L23,V23))</f>
        <v/>
      </c>
    </row>
    <row r="24" customFormat="false" ht="15" hidden="false" customHeight="true" outlineLevel="0" collapsed="false">
      <c r="A24" s="23" t="s">
        <v>93</v>
      </c>
      <c r="B24" s="5"/>
      <c r="C24" s="22" t="n">
        <f aca="false">IF($B23="","",FLOOR($B23/18,1)+IF(MOD($B23,18)&gt;=C$4,1,0))</f>
        <v>1</v>
      </c>
      <c r="D24" s="22" t="n">
        <f aca="false">IF($B23="","",FLOOR($B23/18,1)+IF(MOD($B23,18)&gt;=D$4,1,0))</f>
        <v>1</v>
      </c>
      <c r="E24" s="22" t="n">
        <f aca="false">IF($B23="","",FLOOR($B23/18,1)+IF(MOD($B23,18)&gt;=E$4,1,0))</f>
        <v>1</v>
      </c>
      <c r="F24" s="22" t="n">
        <f aca="false">IF($B23="","",FLOOR($B23/18,1)+IF(MOD($B23,18)&gt;=F$4,1,0))</f>
        <v>1</v>
      </c>
      <c r="G24" s="22" t="n">
        <f aca="false">IF($B23="","",FLOOR($B23/18,1)+IF(MOD($B23,18)&gt;=G$4,1,0))</f>
        <v>1</v>
      </c>
      <c r="H24" s="22" t="n">
        <f aca="false">IF($B23="","",FLOOR($B23/18,1)+IF(MOD($B23,18)&gt;=H$4,1,0))</f>
        <v>1</v>
      </c>
      <c r="I24" s="22" t="n">
        <f aca="false">IF($B23="","",FLOOR($B23/18,1)+IF(MOD($B23,18)&gt;=I$4,1,0))</f>
        <v>1</v>
      </c>
      <c r="J24" s="22" t="n">
        <f aca="false">IF($B23="","",FLOOR($B23/18,1)+IF(MOD($B23,18)&gt;=J$4,1,0))</f>
        <v>1</v>
      </c>
      <c r="K24" s="22" t="n">
        <f aca="false">IF($B23="","",FLOOR($B23/18,1)+IF(MOD($B23,18)&gt;=K$4,1,0))</f>
        <v>1</v>
      </c>
      <c r="L24" s="22" t="n">
        <f aca="false">IF(COUNT(C24:K24)=0,"",SUM(C24:K24))</f>
        <v>9</v>
      </c>
      <c r="M24" s="22" t="n">
        <f aca="false">IF($B23="","",FLOOR($B23/18,1)+IF(MOD($B23,18)&gt;=M$4,1,0))</f>
        <v>1</v>
      </c>
      <c r="N24" s="22" t="n">
        <f aca="false">IF($B23="","",FLOOR($B23/18,1)+IF(MOD($B23,18)&gt;=N$4,1,0))</f>
        <v>1</v>
      </c>
      <c r="O24" s="22" t="n">
        <f aca="false">IF($B23="","",FLOOR($B23/18,1)+IF(MOD($B23,18)&gt;=O$4,1,0))</f>
        <v>1</v>
      </c>
      <c r="P24" s="22" t="n">
        <f aca="false">IF($B23="","",FLOOR($B23/18,1)+IF(MOD($B23,18)&gt;=P$4,1,0))</f>
        <v>1</v>
      </c>
      <c r="Q24" s="22" t="n">
        <f aca="false">IF($B23="","",FLOOR($B23/18,1)+IF(MOD($B23,18)&gt;=Q$4,1,0))</f>
        <v>1</v>
      </c>
      <c r="R24" s="22" t="n">
        <f aca="false">IF($B23="","",FLOOR($B23/18,1)+IF(MOD($B23,18)&gt;=R$4,1,0))</f>
        <v>1</v>
      </c>
      <c r="S24" s="22" t="n">
        <f aca="false">IF($B23="","",FLOOR($B23/18,1)+IF(MOD($B23,18)&gt;=S$4,1,0))</f>
        <v>1</v>
      </c>
      <c r="T24" s="22" t="n">
        <f aca="false">IF($B23="","",FLOOR($B23/18,1)+IF(MOD($B23,18)&gt;=T$4,1,0))</f>
        <v>1</v>
      </c>
      <c r="U24" s="22" t="n">
        <f aca="false">IF($B23="","",FLOOR($B23/18,1)+IF(MOD($B23,18)&gt;=U$4,1,0))</f>
        <v>1</v>
      </c>
      <c r="V24" s="22" t="n">
        <f aca="false">IF(COUNT(M24:U24)=0,"",SUM(M24:U24))</f>
        <v>9</v>
      </c>
      <c r="W24" s="22" t="n">
        <f aca="false">IF(AND(L24="",V24=""),"",SUM(L24,V24))</f>
        <v>18</v>
      </c>
    </row>
    <row r="25" customFormat="false" ht="15" hidden="false" customHeight="true" outlineLevel="0" collapsed="false">
      <c r="A25" s="23" t="s">
        <v>94</v>
      </c>
      <c r="B25" s="5"/>
      <c r="C25" s="22" t="str">
        <f aca="false">IF(C23="","",MAX(0,2-((C23-C24)-C$3)))</f>
        <v/>
      </c>
      <c r="D25" s="22" t="str">
        <f aca="false">IF(D23="","",MAX(0,2-((D23-D24)-D$3)))</f>
        <v/>
      </c>
      <c r="E25" s="22" t="str">
        <f aca="false">IF(E23="","",MAX(0,2-((E23-E24)-E$3)))</f>
        <v/>
      </c>
      <c r="F25" s="22" t="str">
        <f aca="false">IF(F23="","",MAX(0,2-((F23-F24)-F$3)))</f>
        <v/>
      </c>
      <c r="G25" s="22" t="str">
        <f aca="false">IF(G23="","",MAX(0,2-((G23-G24)-G$3)))</f>
        <v/>
      </c>
      <c r="H25" s="22" t="str">
        <f aca="false">IF(H23="","",MAX(0,2-((H23-H24)-H$3)))</f>
        <v/>
      </c>
      <c r="I25" s="22" t="str">
        <f aca="false">IF(I23="","",MAX(0,2-((I23-I24)-I$3)))</f>
        <v/>
      </c>
      <c r="J25" s="22" t="str">
        <f aca="false">IF(J23="","",MAX(0,2-((J23-J24)-J$3)))</f>
        <v/>
      </c>
      <c r="K25" s="22" t="str">
        <f aca="false">IF(K23="","",MAX(0,2-((K23-K24)-K$3)))</f>
        <v/>
      </c>
      <c r="L25" s="22" t="n">
        <f aca="false">SUM(C25:K25)</f>
        <v>0</v>
      </c>
      <c r="M25" s="22" t="str">
        <f aca="false">IF(M23="","",MAX(0,2-((M23-M24)-M$3)))</f>
        <v/>
      </c>
      <c r="N25" s="22" t="str">
        <f aca="false">IF(N23="","",MAX(0,2-((N23-N24)-N$3)))</f>
        <v/>
      </c>
      <c r="O25" s="22" t="str">
        <f aca="false">IF(O23="","",MAX(0,2-((O23-O24)-O$3)))</f>
        <v/>
      </c>
      <c r="P25" s="22" t="str">
        <f aca="false">IF(P23="","",MAX(0,2-((P23-P24)-P$3)))</f>
        <v/>
      </c>
      <c r="Q25" s="22" t="str">
        <f aca="false">IF(Q23="","",MAX(0,2-((Q23-Q24)-Q$3)))</f>
        <v/>
      </c>
      <c r="R25" s="22" t="str">
        <f aca="false">IF(R23="","",MAX(0,2-((R23-R24)-R$3)))</f>
        <v/>
      </c>
      <c r="S25" s="22" t="str">
        <f aca="false">IF(S23="","",MAX(0,2-((S23-S24)-S$3)))</f>
        <v/>
      </c>
      <c r="T25" s="22" t="str">
        <f aca="false">IF(T23="","",MAX(0,2-((T23-T24)-T$3)))</f>
        <v/>
      </c>
      <c r="U25" s="22" t="str">
        <f aca="false">IF(U23="","",MAX(0,2-((U23-U24)-U$3)))</f>
        <v/>
      </c>
      <c r="V25" s="22" t="n">
        <f aca="false">SUM(M25:U25)</f>
        <v>0</v>
      </c>
      <c r="W25" s="22" t="n">
        <f aca="false">L25+V25</f>
        <v>0</v>
      </c>
    </row>
    <row r="26" customFormat="false" ht="15" hidden="false" customHeight="true" outlineLevel="0" collapsed="false">
      <c r="A26" s="23" t="s">
        <v>95</v>
      </c>
      <c r="B26" s="24" t="n">
        <f aca="false">'Course Handicaps'!I11</f>
        <v>28</v>
      </c>
      <c r="C26" s="21"/>
      <c r="D26" s="21"/>
      <c r="E26" s="21"/>
      <c r="F26" s="21"/>
      <c r="G26" s="21"/>
      <c r="H26" s="21"/>
      <c r="I26" s="21"/>
      <c r="J26" s="21"/>
      <c r="K26" s="21"/>
      <c r="L26" s="22" t="str">
        <f aca="false">IF(COUNT(C26:K26)=0,"",SUM(C26:K26))</f>
        <v/>
      </c>
      <c r="M26" s="21"/>
      <c r="N26" s="21"/>
      <c r="O26" s="21"/>
      <c r="P26" s="21"/>
      <c r="Q26" s="21"/>
      <c r="R26" s="21"/>
      <c r="S26" s="21"/>
      <c r="T26" s="21"/>
      <c r="U26" s="21"/>
      <c r="V26" s="22" t="str">
        <f aca="false">IF(COUNT(M26:U26)=0,"",SUM(M26:U26))</f>
        <v/>
      </c>
      <c r="W26" s="22" t="str">
        <f aca="false">IF(AND(L26="",V26=""),"",SUM(L26,V26))</f>
        <v/>
      </c>
    </row>
    <row r="27" customFormat="false" ht="15" hidden="false" customHeight="true" outlineLevel="0" collapsed="false">
      <c r="A27" s="23" t="s">
        <v>96</v>
      </c>
      <c r="B27" s="5"/>
      <c r="C27" s="22" t="n">
        <f aca="false">IF($B26="","",FLOOR($B26/18,1)+IF(MOD($B26,18)&gt;=C$4,1,0))</f>
        <v>2</v>
      </c>
      <c r="D27" s="22" t="n">
        <f aca="false">IF($B26="","",FLOOR($B26/18,1)+IF(MOD($B26,18)&gt;=D$4,1,0))</f>
        <v>2</v>
      </c>
      <c r="E27" s="22" t="n">
        <f aca="false">IF($B26="","",FLOOR($B26/18,1)+IF(MOD($B26,18)&gt;=E$4,1,0))</f>
        <v>2</v>
      </c>
      <c r="F27" s="22" t="n">
        <f aca="false">IF($B26="","",FLOOR($B26/18,1)+IF(MOD($B26,18)&gt;=F$4,1,0))</f>
        <v>2</v>
      </c>
      <c r="G27" s="22" t="n">
        <f aca="false">IF($B26="","",FLOOR($B26/18,1)+IF(MOD($B26,18)&gt;=G$4,1,0))</f>
        <v>2</v>
      </c>
      <c r="H27" s="22" t="n">
        <f aca="false">IF($B26="","",FLOOR($B26/18,1)+IF(MOD($B26,18)&gt;=H$4,1,0))</f>
        <v>2</v>
      </c>
      <c r="I27" s="22" t="n">
        <f aca="false">IF($B26="","",FLOOR($B26/18,1)+IF(MOD($B26,18)&gt;=I$4,1,0))</f>
        <v>2</v>
      </c>
      <c r="J27" s="22" t="n">
        <f aca="false">IF($B26="","",FLOOR($B26/18,1)+IF(MOD($B26,18)&gt;=J$4,1,0))</f>
        <v>2</v>
      </c>
      <c r="K27" s="22" t="n">
        <f aca="false">IF($B26="","",FLOOR($B26/18,1)+IF(MOD($B26,18)&gt;=K$4,1,0))</f>
        <v>2</v>
      </c>
      <c r="L27" s="22" t="n">
        <f aca="false">IF(COUNT(C27:K27)=0,"",SUM(C27:K27))</f>
        <v>18</v>
      </c>
      <c r="M27" s="22" t="n">
        <f aca="false">IF($B26="","",FLOOR($B26/18,1)+IF(MOD($B26,18)&gt;=M$4,1,0))</f>
        <v>2</v>
      </c>
      <c r="N27" s="22" t="n">
        <f aca="false">IF($B26="","",FLOOR($B26/18,1)+IF(MOD($B26,18)&gt;=N$4,1,0))</f>
        <v>2</v>
      </c>
      <c r="O27" s="22" t="n">
        <f aca="false">IF($B26="","",FLOOR($B26/18,1)+IF(MOD($B26,18)&gt;=O$4,1,0))</f>
        <v>2</v>
      </c>
      <c r="P27" s="22" t="n">
        <f aca="false">IF($B26="","",FLOOR($B26/18,1)+IF(MOD($B26,18)&gt;=P$4,1,0))</f>
        <v>2</v>
      </c>
      <c r="Q27" s="22" t="n">
        <f aca="false">IF($B26="","",FLOOR($B26/18,1)+IF(MOD($B26,18)&gt;=Q$4,1,0))</f>
        <v>2</v>
      </c>
      <c r="R27" s="22" t="n">
        <f aca="false">IF($B26="","",FLOOR($B26/18,1)+IF(MOD($B26,18)&gt;=R$4,1,0))</f>
        <v>2</v>
      </c>
      <c r="S27" s="22" t="n">
        <f aca="false">IF($B26="","",FLOOR($B26/18,1)+IF(MOD($B26,18)&gt;=S$4,1,0))</f>
        <v>2</v>
      </c>
      <c r="T27" s="22" t="n">
        <f aca="false">IF($B26="","",FLOOR($B26/18,1)+IF(MOD($B26,18)&gt;=T$4,1,0))</f>
        <v>2</v>
      </c>
      <c r="U27" s="22" t="n">
        <f aca="false">IF($B26="","",FLOOR($B26/18,1)+IF(MOD($B26,18)&gt;=U$4,1,0))</f>
        <v>2</v>
      </c>
      <c r="V27" s="22" t="n">
        <f aca="false">IF(COUNT(M27:U27)=0,"",SUM(M27:U27))</f>
        <v>18</v>
      </c>
      <c r="W27" s="22" t="n">
        <f aca="false">IF(AND(L27="",V27=""),"",SUM(L27,V27))</f>
        <v>36</v>
      </c>
    </row>
    <row r="28" customFormat="false" ht="15" hidden="false" customHeight="true" outlineLevel="0" collapsed="false">
      <c r="A28" s="23" t="s">
        <v>97</v>
      </c>
      <c r="B28" s="5"/>
      <c r="C28" s="22" t="str">
        <f aca="false">IF(C26="","",MAX(0,2-((C26-C27)-C$3)))</f>
        <v/>
      </c>
      <c r="D28" s="22" t="str">
        <f aca="false">IF(D26="","",MAX(0,2-((D26-D27)-D$3)))</f>
        <v/>
      </c>
      <c r="E28" s="22" t="str">
        <f aca="false">IF(E26="","",MAX(0,2-((E26-E27)-E$3)))</f>
        <v/>
      </c>
      <c r="F28" s="22" t="str">
        <f aca="false">IF(F26="","",MAX(0,2-((F26-F27)-F$3)))</f>
        <v/>
      </c>
      <c r="G28" s="22" t="str">
        <f aca="false">IF(G26="","",MAX(0,2-((G26-G27)-G$3)))</f>
        <v/>
      </c>
      <c r="H28" s="22" t="str">
        <f aca="false">IF(H26="","",MAX(0,2-((H26-H27)-H$3)))</f>
        <v/>
      </c>
      <c r="I28" s="22" t="str">
        <f aca="false">IF(I26="","",MAX(0,2-((I26-I27)-I$3)))</f>
        <v/>
      </c>
      <c r="J28" s="22" t="str">
        <f aca="false">IF(J26="","",MAX(0,2-((J26-J27)-J$3)))</f>
        <v/>
      </c>
      <c r="K28" s="22" t="str">
        <f aca="false">IF(K26="","",MAX(0,2-((K26-K27)-K$3)))</f>
        <v/>
      </c>
      <c r="L28" s="22" t="n">
        <f aca="false">SUM(C28:K28)</f>
        <v>0</v>
      </c>
      <c r="M28" s="22" t="str">
        <f aca="false">IF(M26="","",MAX(0,2-((M26-M27)-M$3)))</f>
        <v/>
      </c>
      <c r="N28" s="22" t="str">
        <f aca="false">IF(N26="","",MAX(0,2-((N26-N27)-N$3)))</f>
        <v/>
      </c>
      <c r="O28" s="22" t="str">
        <f aca="false">IF(O26="","",MAX(0,2-((O26-O27)-O$3)))</f>
        <v/>
      </c>
      <c r="P28" s="22" t="str">
        <f aca="false">IF(P26="","",MAX(0,2-((P26-P27)-P$3)))</f>
        <v/>
      </c>
      <c r="Q28" s="22" t="str">
        <f aca="false">IF(Q26="","",MAX(0,2-((Q26-Q27)-Q$3)))</f>
        <v/>
      </c>
      <c r="R28" s="22" t="str">
        <f aca="false">IF(R26="","",MAX(0,2-((R26-R27)-R$3)))</f>
        <v/>
      </c>
      <c r="S28" s="22" t="str">
        <f aca="false">IF(S26="","",MAX(0,2-((S26-S27)-S$3)))</f>
        <v/>
      </c>
      <c r="T28" s="22" t="str">
        <f aca="false">IF(T26="","",MAX(0,2-((T26-T27)-T$3)))</f>
        <v/>
      </c>
      <c r="U28" s="22" t="str">
        <f aca="false">IF(U26="","",MAX(0,2-((U26-U27)-U$3)))</f>
        <v/>
      </c>
      <c r="V28" s="22" t="n">
        <f aca="false">SUM(M28:U28)</f>
        <v>0</v>
      </c>
      <c r="W28" s="22" t="n">
        <f aca="false">L28+V28</f>
        <v>0</v>
      </c>
    </row>
    <row r="29" customFormat="false" ht="15" hidden="false" customHeight="true" outlineLevel="0" collapsed="false">
      <c r="A29" s="5"/>
      <c r="B29" s="5"/>
      <c r="C29" s="5"/>
      <c r="D29" s="5"/>
      <c r="E29" s="5"/>
      <c r="F29" s="5"/>
      <c r="G29" s="5"/>
      <c r="H29" s="5"/>
      <c r="I29" s="5"/>
      <c r="J29" s="5"/>
      <c r="K29" s="5"/>
      <c r="L29" s="5"/>
      <c r="M29" s="5"/>
      <c r="N29" s="5"/>
      <c r="O29" s="5"/>
      <c r="P29" s="5"/>
      <c r="Q29" s="5"/>
      <c r="R29" s="5"/>
      <c r="S29" s="5"/>
      <c r="T29" s="5"/>
      <c r="U29" s="5"/>
      <c r="V29" s="5"/>
      <c r="W29" s="5"/>
    </row>
    <row r="30" customFormat="false" ht="15" hidden="false" customHeight="true" outlineLevel="0" collapsed="false">
      <c r="A30" s="18" t="s">
        <v>98</v>
      </c>
      <c r="B30" s="18"/>
      <c r="C30" s="18"/>
      <c r="D30" s="18"/>
      <c r="E30" s="18"/>
      <c r="F30" s="18"/>
      <c r="G30" s="18"/>
      <c r="H30" s="18"/>
      <c r="I30" s="18"/>
      <c r="J30" s="18"/>
      <c r="K30" s="18"/>
      <c r="L30" s="18"/>
      <c r="M30" s="18"/>
      <c r="N30" s="18"/>
      <c r="O30" s="18"/>
      <c r="P30" s="18"/>
      <c r="Q30" s="18"/>
      <c r="R30" s="18"/>
      <c r="S30" s="18"/>
      <c r="T30" s="18"/>
      <c r="U30" s="18"/>
      <c r="V30" s="18"/>
      <c r="W30" s="18"/>
    </row>
  </sheetData>
  <mergeCells count="2">
    <mergeCell ref="A1:W1"/>
    <mergeCell ref="A30:W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0" width="20"/>
    <col collapsed="false" customWidth="true" hidden="false" outlineLevel="0" max="2" min="2" style="0" width="7"/>
    <col collapsed="false" customWidth="true" hidden="false" outlineLevel="0" max="20" min="3" style="0" width="6.51"/>
    <col collapsed="false" customWidth="true" hidden="false" outlineLevel="0" max="21" min="21" style="0" width="7"/>
    <col collapsed="false" customWidth="true" hidden="false" outlineLevel="0" max="23" min="23" style="0" width="8"/>
  </cols>
  <sheetData>
    <row r="1" customFormat="false" ht="24" hidden="false" customHeight="true" outlineLevel="0" collapsed="false">
      <c r="A1" s="19" t="s">
        <v>102</v>
      </c>
      <c r="B1" s="19"/>
      <c r="C1" s="19"/>
      <c r="D1" s="19"/>
      <c r="E1" s="19"/>
      <c r="F1" s="19"/>
      <c r="G1" s="19"/>
      <c r="H1" s="19"/>
      <c r="I1" s="19"/>
      <c r="J1" s="19"/>
      <c r="K1" s="19"/>
      <c r="L1" s="19"/>
      <c r="M1" s="19"/>
      <c r="N1" s="19"/>
      <c r="O1" s="19"/>
      <c r="P1" s="19"/>
      <c r="Q1" s="19"/>
      <c r="R1" s="19"/>
      <c r="S1" s="19"/>
      <c r="T1" s="19"/>
      <c r="U1" s="19"/>
      <c r="V1" s="19"/>
      <c r="W1" s="19"/>
    </row>
    <row r="2" customFormat="false" ht="15" hidden="false" customHeight="true" outlineLevel="0" collapsed="false">
      <c r="A2" s="8" t="s">
        <v>67</v>
      </c>
      <c r="B2" s="8" t="s">
        <v>68</v>
      </c>
      <c r="C2" s="8" t="n">
        <v>1</v>
      </c>
      <c r="D2" s="8" t="n">
        <v>2</v>
      </c>
      <c r="E2" s="8" t="n">
        <v>3</v>
      </c>
      <c r="F2" s="8" t="n">
        <v>4</v>
      </c>
      <c r="G2" s="8" t="n">
        <v>5</v>
      </c>
      <c r="H2" s="8" t="n">
        <v>6</v>
      </c>
      <c r="I2" s="8" t="n">
        <v>7</v>
      </c>
      <c r="J2" s="8" t="n">
        <v>8</v>
      </c>
      <c r="K2" s="8" t="n">
        <v>9</v>
      </c>
      <c r="L2" s="8" t="s">
        <v>69</v>
      </c>
      <c r="M2" s="8" t="n">
        <v>10</v>
      </c>
      <c r="N2" s="8" t="n">
        <v>11</v>
      </c>
      <c r="O2" s="8" t="n">
        <v>12</v>
      </c>
      <c r="P2" s="8" t="n">
        <v>13</v>
      </c>
      <c r="Q2" s="8" t="n">
        <v>14</v>
      </c>
      <c r="R2" s="8" t="n">
        <v>15</v>
      </c>
      <c r="S2" s="8" t="n">
        <v>16</v>
      </c>
      <c r="T2" s="8" t="n">
        <v>17</v>
      </c>
      <c r="U2" s="8" t="n">
        <v>18</v>
      </c>
      <c r="V2" s="8" t="s">
        <v>70</v>
      </c>
      <c r="W2" s="8" t="s">
        <v>71</v>
      </c>
    </row>
    <row r="3" customFormat="false" ht="15" hidden="false" customHeight="true" outlineLevel="0" collapsed="false">
      <c r="A3" s="20" t="s">
        <v>72</v>
      </c>
      <c r="B3" s="5"/>
      <c r="C3" s="21"/>
      <c r="D3" s="21"/>
      <c r="E3" s="21"/>
      <c r="F3" s="21"/>
      <c r="G3" s="21"/>
      <c r="H3" s="21"/>
      <c r="I3" s="21"/>
      <c r="J3" s="21"/>
      <c r="K3" s="21"/>
      <c r="L3" s="22" t="n">
        <f aca="false">SUM(C3:K3)</f>
        <v>0</v>
      </c>
      <c r="M3" s="21"/>
      <c r="N3" s="21"/>
      <c r="O3" s="21"/>
      <c r="P3" s="21"/>
      <c r="Q3" s="21"/>
      <c r="R3" s="21"/>
      <c r="S3" s="21"/>
      <c r="T3" s="21"/>
      <c r="U3" s="21"/>
      <c r="V3" s="22" t="n">
        <f aca="false">SUM(M3:U3)</f>
        <v>0</v>
      </c>
      <c r="W3" s="22" t="n">
        <f aca="false">L3+V3</f>
        <v>0</v>
      </c>
    </row>
    <row r="4" customFormat="false" ht="15" hidden="false" customHeight="true" outlineLevel="0" collapsed="false">
      <c r="A4" s="20" t="s">
        <v>73</v>
      </c>
      <c r="B4" s="5"/>
      <c r="C4" s="21"/>
      <c r="D4" s="21"/>
      <c r="E4" s="21"/>
      <c r="F4" s="21"/>
      <c r="G4" s="21"/>
      <c r="H4" s="21"/>
      <c r="I4" s="21"/>
      <c r="J4" s="21"/>
      <c r="K4" s="21"/>
      <c r="L4" s="5"/>
      <c r="M4" s="21"/>
      <c r="N4" s="21"/>
      <c r="O4" s="21"/>
      <c r="P4" s="21"/>
      <c r="Q4" s="21"/>
      <c r="R4" s="21"/>
      <c r="S4" s="21"/>
      <c r="T4" s="21"/>
      <c r="U4" s="21"/>
      <c r="V4" s="5"/>
      <c r="W4" s="5"/>
    </row>
    <row r="5" customFormat="false" ht="15" hidden="false" customHeight="true" outlineLevel="0" collapsed="false">
      <c r="A5" s="23" t="s">
        <v>74</v>
      </c>
      <c r="B5" s="24" t="n">
        <f aca="false">'Course Handicaps'!H4</f>
        <v>22</v>
      </c>
      <c r="C5" s="21"/>
      <c r="D5" s="21"/>
      <c r="E5" s="21"/>
      <c r="F5" s="21"/>
      <c r="G5" s="21"/>
      <c r="H5" s="21"/>
      <c r="I5" s="21"/>
      <c r="J5" s="21"/>
      <c r="K5" s="21"/>
      <c r="L5" s="22" t="str">
        <f aca="false">IF(COUNT(C5:K5)=0,"",SUM(C5:K5))</f>
        <v/>
      </c>
      <c r="M5" s="21"/>
      <c r="N5" s="21"/>
      <c r="O5" s="21"/>
      <c r="P5" s="21"/>
      <c r="Q5" s="21"/>
      <c r="R5" s="21"/>
      <c r="S5" s="21"/>
      <c r="T5" s="21"/>
      <c r="U5" s="21"/>
      <c r="V5" s="22" t="str">
        <f aca="false">IF(COUNT(M5:U5)=0,"",SUM(M5:U5))</f>
        <v/>
      </c>
      <c r="W5" s="22" t="str">
        <f aca="false">IF(AND(L5="",V5=""),"",SUM(L5,V5))</f>
        <v/>
      </c>
    </row>
    <row r="6" customFormat="false" ht="15" hidden="false" customHeight="true" outlineLevel="0" collapsed="false">
      <c r="A6" s="23" t="s">
        <v>75</v>
      </c>
      <c r="B6" s="5"/>
      <c r="C6" s="22" t="n">
        <f aca="false">IF($B5="","",FLOOR($B5/18,1)+IF(MOD($B5,18)&gt;=C$4,1,0))</f>
        <v>2</v>
      </c>
      <c r="D6" s="22" t="n">
        <f aca="false">IF($B5="","",FLOOR($B5/18,1)+IF(MOD($B5,18)&gt;=D$4,1,0))</f>
        <v>2</v>
      </c>
      <c r="E6" s="22" t="n">
        <f aca="false">IF($B5="","",FLOOR($B5/18,1)+IF(MOD($B5,18)&gt;=E$4,1,0))</f>
        <v>2</v>
      </c>
      <c r="F6" s="22" t="n">
        <f aca="false">IF($B5="","",FLOOR($B5/18,1)+IF(MOD($B5,18)&gt;=F$4,1,0))</f>
        <v>2</v>
      </c>
      <c r="G6" s="22" t="n">
        <f aca="false">IF($B5="","",FLOOR($B5/18,1)+IF(MOD($B5,18)&gt;=G$4,1,0))</f>
        <v>2</v>
      </c>
      <c r="H6" s="22" t="n">
        <f aca="false">IF($B5="","",FLOOR($B5/18,1)+IF(MOD($B5,18)&gt;=H$4,1,0))</f>
        <v>2</v>
      </c>
      <c r="I6" s="22" t="n">
        <f aca="false">IF($B5="","",FLOOR($B5/18,1)+IF(MOD($B5,18)&gt;=I$4,1,0))</f>
        <v>2</v>
      </c>
      <c r="J6" s="22" t="n">
        <f aca="false">IF($B5="","",FLOOR($B5/18,1)+IF(MOD($B5,18)&gt;=J$4,1,0))</f>
        <v>2</v>
      </c>
      <c r="K6" s="22" t="n">
        <f aca="false">IF($B5="","",FLOOR($B5/18,1)+IF(MOD($B5,18)&gt;=K$4,1,0))</f>
        <v>2</v>
      </c>
      <c r="L6" s="22" t="n">
        <f aca="false">IF(COUNT(C6:K6)=0,"",SUM(C6:K6))</f>
        <v>18</v>
      </c>
      <c r="M6" s="22" t="n">
        <f aca="false">IF($B5="","",FLOOR($B5/18,1)+IF(MOD($B5,18)&gt;=M$4,1,0))</f>
        <v>2</v>
      </c>
      <c r="N6" s="22" t="n">
        <f aca="false">IF($B5="","",FLOOR($B5/18,1)+IF(MOD($B5,18)&gt;=N$4,1,0))</f>
        <v>2</v>
      </c>
      <c r="O6" s="22" t="n">
        <f aca="false">IF($B5="","",FLOOR($B5/18,1)+IF(MOD($B5,18)&gt;=O$4,1,0))</f>
        <v>2</v>
      </c>
      <c r="P6" s="22" t="n">
        <f aca="false">IF($B5="","",FLOOR($B5/18,1)+IF(MOD($B5,18)&gt;=P$4,1,0))</f>
        <v>2</v>
      </c>
      <c r="Q6" s="22" t="n">
        <f aca="false">IF($B5="","",FLOOR($B5/18,1)+IF(MOD($B5,18)&gt;=Q$4,1,0))</f>
        <v>2</v>
      </c>
      <c r="R6" s="22" t="n">
        <f aca="false">IF($B5="","",FLOOR($B5/18,1)+IF(MOD($B5,18)&gt;=R$4,1,0))</f>
        <v>2</v>
      </c>
      <c r="S6" s="22" t="n">
        <f aca="false">IF($B5="","",FLOOR($B5/18,1)+IF(MOD($B5,18)&gt;=S$4,1,0))</f>
        <v>2</v>
      </c>
      <c r="T6" s="22" t="n">
        <f aca="false">IF($B5="","",FLOOR($B5/18,1)+IF(MOD($B5,18)&gt;=T$4,1,0))</f>
        <v>2</v>
      </c>
      <c r="U6" s="22" t="n">
        <f aca="false">IF($B5="","",FLOOR($B5/18,1)+IF(MOD($B5,18)&gt;=U$4,1,0))</f>
        <v>2</v>
      </c>
      <c r="V6" s="22" t="n">
        <f aca="false">IF(COUNT(M6:U6)=0,"",SUM(M6:U6))</f>
        <v>18</v>
      </c>
      <c r="W6" s="22" t="n">
        <f aca="false">IF(AND(L6="",V6=""),"",SUM(L6,V6))</f>
        <v>36</v>
      </c>
    </row>
    <row r="7" customFormat="false" ht="15" hidden="false" customHeight="true" outlineLevel="0" collapsed="false">
      <c r="A7" s="23" t="s">
        <v>76</v>
      </c>
      <c r="B7" s="5"/>
      <c r="C7" s="22" t="str">
        <f aca="false">IF(C5="","",MAX(0,2-((C5-C6)-C$3)))</f>
        <v/>
      </c>
      <c r="D7" s="22" t="str">
        <f aca="false">IF(D5="","",MAX(0,2-((D5-D6)-D$3)))</f>
        <v/>
      </c>
      <c r="E7" s="22" t="str">
        <f aca="false">IF(E5="","",MAX(0,2-((E5-E6)-E$3)))</f>
        <v/>
      </c>
      <c r="F7" s="22" t="str">
        <f aca="false">IF(F5="","",MAX(0,2-((F5-F6)-F$3)))</f>
        <v/>
      </c>
      <c r="G7" s="22" t="str">
        <f aca="false">IF(G5="","",MAX(0,2-((G5-G6)-G$3)))</f>
        <v/>
      </c>
      <c r="H7" s="22" t="str">
        <f aca="false">IF(H5="","",MAX(0,2-((H5-H6)-H$3)))</f>
        <v/>
      </c>
      <c r="I7" s="22" t="str">
        <f aca="false">IF(I5="","",MAX(0,2-((I5-I6)-I$3)))</f>
        <v/>
      </c>
      <c r="J7" s="22" t="str">
        <f aca="false">IF(J5="","",MAX(0,2-((J5-J6)-J$3)))</f>
        <v/>
      </c>
      <c r="K7" s="22" t="str">
        <f aca="false">IF(K5="","",MAX(0,2-((K5-K6)-K$3)))</f>
        <v/>
      </c>
      <c r="L7" s="22" t="n">
        <f aca="false">SUM(C7:K7)</f>
        <v>0</v>
      </c>
      <c r="M7" s="22" t="str">
        <f aca="false">IF(M5="","",MAX(0,2-((M5-M6)-M$3)))</f>
        <v/>
      </c>
      <c r="N7" s="22" t="str">
        <f aca="false">IF(N5="","",MAX(0,2-((N5-N6)-N$3)))</f>
        <v/>
      </c>
      <c r="O7" s="22" t="str">
        <f aca="false">IF(O5="","",MAX(0,2-((O5-O6)-O$3)))</f>
        <v/>
      </c>
      <c r="P7" s="22" t="str">
        <f aca="false">IF(P5="","",MAX(0,2-((P5-P6)-P$3)))</f>
        <v/>
      </c>
      <c r="Q7" s="22" t="str">
        <f aca="false">IF(Q5="","",MAX(0,2-((Q5-Q6)-Q$3)))</f>
        <v/>
      </c>
      <c r="R7" s="22" t="str">
        <f aca="false">IF(R5="","",MAX(0,2-((R5-R6)-R$3)))</f>
        <v/>
      </c>
      <c r="S7" s="22" t="str">
        <f aca="false">IF(S5="","",MAX(0,2-((S5-S6)-S$3)))</f>
        <v/>
      </c>
      <c r="T7" s="22" t="str">
        <f aca="false">IF(T5="","",MAX(0,2-((T5-T6)-T$3)))</f>
        <v/>
      </c>
      <c r="U7" s="22" t="str">
        <f aca="false">IF(U5="","",MAX(0,2-((U5-U6)-U$3)))</f>
        <v/>
      </c>
      <c r="V7" s="22" t="n">
        <f aca="false">SUM(M7:U7)</f>
        <v>0</v>
      </c>
      <c r="W7" s="22" t="n">
        <f aca="false">L7+V7</f>
        <v>0</v>
      </c>
    </row>
    <row r="8" customFormat="false" ht="15" hidden="false" customHeight="true" outlineLevel="0" collapsed="false">
      <c r="A8" s="23" t="s">
        <v>77</v>
      </c>
      <c r="B8" s="24" t="n">
        <f aca="false">'Course Handicaps'!H5</f>
        <v>21</v>
      </c>
      <c r="C8" s="21"/>
      <c r="D8" s="21"/>
      <c r="E8" s="21"/>
      <c r="F8" s="21"/>
      <c r="G8" s="21"/>
      <c r="H8" s="21"/>
      <c r="I8" s="21"/>
      <c r="J8" s="21"/>
      <c r="K8" s="21"/>
      <c r="L8" s="22" t="str">
        <f aca="false">IF(COUNT(C8:K8)=0,"",SUM(C8:K8))</f>
        <v/>
      </c>
      <c r="M8" s="21"/>
      <c r="N8" s="21"/>
      <c r="O8" s="21"/>
      <c r="P8" s="21"/>
      <c r="Q8" s="21"/>
      <c r="R8" s="21"/>
      <c r="S8" s="21"/>
      <c r="T8" s="21"/>
      <c r="U8" s="21"/>
      <c r="V8" s="22" t="str">
        <f aca="false">IF(COUNT(M8:U8)=0,"",SUM(M8:U8))</f>
        <v/>
      </c>
      <c r="W8" s="22" t="str">
        <f aca="false">IF(AND(L8="",V8=""),"",SUM(L8,V8))</f>
        <v/>
      </c>
    </row>
    <row r="9" customFormat="false" ht="15" hidden="false" customHeight="true" outlineLevel="0" collapsed="false">
      <c r="A9" s="23" t="s">
        <v>78</v>
      </c>
      <c r="B9" s="5"/>
      <c r="C9" s="22" t="n">
        <f aca="false">IF($B8="","",FLOOR($B8/18,1)+IF(MOD($B8,18)&gt;=C$4,1,0))</f>
        <v>2</v>
      </c>
      <c r="D9" s="22" t="n">
        <f aca="false">IF($B8="","",FLOOR($B8/18,1)+IF(MOD($B8,18)&gt;=D$4,1,0))</f>
        <v>2</v>
      </c>
      <c r="E9" s="22" t="n">
        <f aca="false">IF($B8="","",FLOOR($B8/18,1)+IF(MOD($B8,18)&gt;=E$4,1,0))</f>
        <v>2</v>
      </c>
      <c r="F9" s="22" t="n">
        <f aca="false">IF($B8="","",FLOOR($B8/18,1)+IF(MOD($B8,18)&gt;=F$4,1,0))</f>
        <v>2</v>
      </c>
      <c r="G9" s="22" t="n">
        <f aca="false">IF($B8="","",FLOOR($B8/18,1)+IF(MOD($B8,18)&gt;=G$4,1,0))</f>
        <v>2</v>
      </c>
      <c r="H9" s="22" t="n">
        <f aca="false">IF($B8="","",FLOOR($B8/18,1)+IF(MOD($B8,18)&gt;=H$4,1,0))</f>
        <v>2</v>
      </c>
      <c r="I9" s="22" t="n">
        <f aca="false">IF($B8="","",FLOOR($B8/18,1)+IF(MOD($B8,18)&gt;=I$4,1,0))</f>
        <v>2</v>
      </c>
      <c r="J9" s="22" t="n">
        <f aca="false">IF($B8="","",FLOOR($B8/18,1)+IF(MOD($B8,18)&gt;=J$4,1,0))</f>
        <v>2</v>
      </c>
      <c r="K9" s="22" t="n">
        <f aca="false">IF($B8="","",FLOOR($B8/18,1)+IF(MOD($B8,18)&gt;=K$4,1,0))</f>
        <v>2</v>
      </c>
      <c r="L9" s="22" t="n">
        <f aca="false">IF(COUNT(C9:K9)=0,"",SUM(C9:K9))</f>
        <v>18</v>
      </c>
      <c r="M9" s="22" t="n">
        <f aca="false">IF($B8="","",FLOOR($B8/18,1)+IF(MOD($B8,18)&gt;=M$4,1,0))</f>
        <v>2</v>
      </c>
      <c r="N9" s="22" t="n">
        <f aca="false">IF($B8="","",FLOOR($B8/18,1)+IF(MOD($B8,18)&gt;=N$4,1,0))</f>
        <v>2</v>
      </c>
      <c r="O9" s="22" t="n">
        <f aca="false">IF($B8="","",FLOOR($B8/18,1)+IF(MOD($B8,18)&gt;=O$4,1,0))</f>
        <v>2</v>
      </c>
      <c r="P9" s="22" t="n">
        <f aca="false">IF($B8="","",FLOOR($B8/18,1)+IF(MOD($B8,18)&gt;=P$4,1,0))</f>
        <v>2</v>
      </c>
      <c r="Q9" s="22" t="n">
        <f aca="false">IF($B8="","",FLOOR($B8/18,1)+IF(MOD($B8,18)&gt;=Q$4,1,0))</f>
        <v>2</v>
      </c>
      <c r="R9" s="22" t="n">
        <f aca="false">IF($B8="","",FLOOR($B8/18,1)+IF(MOD($B8,18)&gt;=R$4,1,0))</f>
        <v>2</v>
      </c>
      <c r="S9" s="22" t="n">
        <f aca="false">IF($B8="","",FLOOR($B8/18,1)+IF(MOD($B8,18)&gt;=S$4,1,0))</f>
        <v>2</v>
      </c>
      <c r="T9" s="22" t="n">
        <f aca="false">IF($B8="","",FLOOR($B8/18,1)+IF(MOD($B8,18)&gt;=T$4,1,0))</f>
        <v>2</v>
      </c>
      <c r="U9" s="22" t="n">
        <f aca="false">IF($B8="","",FLOOR($B8/18,1)+IF(MOD($B8,18)&gt;=U$4,1,0))</f>
        <v>2</v>
      </c>
      <c r="V9" s="22" t="n">
        <f aca="false">IF(COUNT(M9:U9)=0,"",SUM(M9:U9))</f>
        <v>18</v>
      </c>
      <c r="W9" s="22" t="n">
        <f aca="false">IF(AND(L9="",V9=""),"",SUM(L9,V9))</f>
        <v>36</v>
      </c>
    </row>
    <row r="10" customFormat="false" ht="15" hidden="false" customHeight="true" outlineLevel="0" collapsed="false">
      <c r="A10" s="23" t="s">
        <v>79</v>
      </c>
      <c r="B10" s="5"/>
      <c r="C10" s="22" t="str">
        <f aca="false">IF(C8="","",MAX(0,2-((C8-C9)-C$3)))</f>
        <v/>
      </c>
      <c r="D10" s="22" t="str">
        <f aca="false">IF(D8="","",MAX(0,2-((D8-D9)-D$3)))</f>
        <v/>
      </c>
      <c r="E10" s="22" t="str">
        <f aca="false">IF(E8="","",MAX(0,2-((E8-E9)-E$3)))</f>
        <v/>
      </c>
      <c r="F10" s="22" t="str">
        <f aca="false">IF(F8="","",MAX(0,2-((F8-F9)-F$3)))</f>
        <v/>
      </c>
      <c r="G10" s="22" t="str">
        <f aca="false">IF(G8="","",MAX(0,2-((G8-G9)-G$3)))</f>
        <v/>
      </c>
      <c r="H10" s="22" t="str">
        <f aca="false">IF(H8="","",MAX(0,2-((H8-H9)-H$3)))</f>
        <v/>
      </c>
      <c r="I10" s="22" t="str">
        <f aca="false">IF(I8="","",MAX(0,2-((I8-I9)-I$3)))</f>
        <v/>
      </c>
      <c r="J10" s="22" t="str">
        <f aca="false">IF(J8="","",MAX(0,2-((J8-J9)-J$3)))</f>
        <v/>
      </c>
      <c r="K10" s="22" t="str">
        <f aca="false">IF(K8="","",MAX(0,2-((K8-K9)-K$3)))</f>
        <v/>
      </c>
      <c r="L10" s="22" t="n">
        <f aca="false">SUM(C10:K10)</f>
        <v>0</v>
      </c>
      <c r="M10" s="22" t="str">
        <f aca="false">IF(M8="","",MAX(0,2-((M8-M9)-M$3)))</f>
        <v/>
      </c>
      <c r="N10" s="22" t="str">
        <f aca="false">IF(N8="","",MAX(0,2-((N8-N9)-N$3)))</f>
        <v/>
      </c>
      <c r="O10" s="22" t="str">
        <f aca="false">IF(O8="","",MAX(0,2-((O8-O9)-O$3)))</f>
        <v/>
      </c>
      <c r="P10" s="22" t="str">
        <f aca="false">IF(P8="","",MAX(0,2-((P8-P9)-P$3)))</f>
        <v/>
      </c>
      <c r="Q10" s="22" t="str">
        <f aca="false">IF(Q8="","",MAX(0,2-((Q8-Q9)-Q$3)))</f>
        <v/>
      </c>
      <c r="R10" s="22" t="str">
        <f aca="false">IF(R8="","",MAX(0,2-((R8-R9)-R$3)))</f>
        <v/>
      </c>
      <c r="S10" s="22" t="str">
        <f aca="false">IF(S8="","",MAX(0,2-((S8-S9)-S$3)))</f>
        <v/>
      </c>
      <c r="T10" s="22" t="str">
        <f aca="false">IF(T8="","",MAX(0,2-((T8-T9)-T$3)))</f>
        <v/>
      </c>
      <c r="U10" s="22" t="str">
        <f aca="false">IF(U8="","",MAX(0,2-((U8-U9)-U$3)))</f>
        <v/>
      </c>
      <c r="V10" s="22" t="n">
        <f aca="false">SUM(M10:U10)</f>
        <v>0</v>
      </c>
      <c r="W10" s="22" t="n">
        <f aca="false">L10+V10</f>
        <v>0</v>
      </c>
    </row>
    <row r="11" customFormat="false" ht="15" hidden="false" customHeight="true" outlineLevel="0" collapsed="false">
      <c r="A11" s="23" t="s">
        <v>80</v>
      </c>
      <c r="B11" s="24" t="n">
        <f aca="false">'Course Handicaps'!H6</f>
        <v>16</v>
      </c>
      <c r="C11" s="21"/>
      <c r="D11" s="21"/>
      <c r="E11" s="21"/>
      <c r="F11" s="21"/>
      <c r="G11" s="21"/>
      <c r="H11" s="21"/>
      <c r="I11" s="21"/>
      <c r="J11" s="21"/>
      <c r="K11" s="21"/>
      <c r="L11" s="22" t="str">
        <f aca="false">IF(COUNT(C11:K11)=0,"",SUM(C11:K11))</f>
        <v/>
      </c>
      <c r="M11" s="21"/>
      <c r="N11" s="21"/>
      <c r="O11" s="21"/>
      <c r="P11" s="21"/>
      <c r="Q11" s="21"/>
      <c r="R11" s="21"/>
      <c r="S11" s="21"/>
      <c r="T11" s="21"/>
      <c r="U11" s="21"/>
      <c r="V11" s="22" t="str">
        <f aca="false">IF(COUNT(M11:U11)=0,"",SUM(M11:U11))</f>
        <v/>
      </c>
      <c r="W11" s="22" t="str">
        <f aca="false">IF(AND(L11="",V11=""),"",SUM(L11,V11))</f>
        <v/>
      </c>
    </row>
    <row r="12" customFormat="false" ht="15" hidden="false" customHeight="true" outlineLevel="0" collapsed="false">
      <c r="A12" s="23" t="s">
        <v>81</v>
      </c>
      <c r="B12" s="5"/>
      <c r="C12" s="22" t="n">
        <f aca="false">IF($B11="","",FLOOR($B11/18,1)+IF(MOD($B11,18)&gt;=C$4,1,0))</f>
        <v>1</v>
      </c>
      <c r="D12" s="22" t="n">
        <f aca="false">IF($B11="","",FLOOR($B11/18,1)+IF(MOD($B11,18)&gt;=D$4,1,0))</f>
        <v>1</v>
      </c>
      <c r="E12" s="22" t="n">
        <f aca="false">IF($B11="","",FLOOR($B11/18,1)+IF(MOD($B11,18)&gt;=E$4,1,0))</f>
        <v>1</v>
      </c>
      <c r="F12" s="22" t="n">
        <f aca="false">IF($B11="","",FLOOR($B11/18,1)+IF(MOD($B11,18)&gt;=F$4,1,0))</f>
        <v>1</v>
      </c>
      <c r="G12" s="22" t="n">
        <f aca="false">IF($B11="","",FLOOR($B11/18,1)+IF(MOD($B11,18)&gt;=G$4,1,0))</f>
        <v>1</v>
      </c>
      <c r="H12" s="22" t="n">
        <f aca="false">IF($B11="","",FLOOR($B11/18,1)+IF(MOD($B11,18)&gt;=H$4,1,0))</f>
        <v>1</v>
      </c>
      <c r="I12" s="22" t="n">
        <f aca="false">IF($B11="","",FLOOR($B11/18,1)+IF(MOD($B11,18)&gt;=I$4,1,0))</f>
        <v>1</v>
      </c>
      <c r="J12" s="22" t="n">
        <f aca="false">IF($B11="","",FLOOR($B11/18,1)+IF(MOD($B11,18)&gt;=J$4,1,0))</f>
        <v>1</v>
      </c>
      <c r="K12" s="22" t="n">
        <f aca="false">IF($B11="","",FLOOR($B11/18,1)+IF(MOD($B11,18)&gt;=K$4,1,0))</f>
        <v>1</v>
      </c>
      <c r="L12" s="22" t="n">
        <f aca="false">IF(COUNT(C12:K12)=0,"",SUM(C12:K12))</f>
        <v>9</v>
      </c>
      <c r="M12" s="22" t="n">
        <f aca="false">IF($B11="","",FLOOR($B11/18,1)+IF(MOD($B11,18)&gt;=M$4,1,0))</f>
        <v>1</v>
      </c>
      <c r="N12" s="22" t="n">
        <f aca="false">IF($B11="","",FLOOR($B11/18,1)+IF(MOD($B11,18)&gt;=N$4,1,0))</f>
        <v>1</v>
      </c>
      <c r="O12" s="22" t="n">
        <f aca="false">IF($B11="","",FLOOR($B11/18,1)+IF(MOD($B11,18)&gt;=O$4,1,0))</f>
        <v>1</v>
      </c>
      <c r="P12" s="22" t="n">
        <f aca="false">IF($B11="","",FLOOR($B11/18,1)+IF(MOD($B11,18)&gt;=P$4,1,0))</f>
        <v>1</v>
      </c>
      <c r="Q12" s="22" t="n">
        <f aca="false">IF($B11="","",FLOOR($B11/18,1)+IF(MOD($B11,18)&gt;=Q$4,1,0))</f>
        <v>1</v>
      </c>
      <c r="R12" s="22" t="n">
        <f aca="false">IF($B11="","",FLOOR($B11/18,1)+IF(MOD($B11,18)&gt;=R$4,1,0))</f>
        <v>1</v>
      </c>
      <c r="S12" s="22" t="n">
        <f aca="false">IF($B11="","",FLOOR($B11/18,1)+IF(MOD($B11,18)&gt;=S$4,1,0))</f>
        <v>1</v>
      </c>
      <c r="T12" s="22" t="n">
        <f aca="false">IF($B11="","",FLOOR($B11/18,1)+IF(MOD($B11,18)&gt;=T$4,1,0))</f>
        <v>1</v>
      </c>
      <c r="U12" s="22" t="n">
        <f aca="false">IF($B11="","",FLOOR($B11/18,1)+IF(MOD($B11,18)&gt;=U$4,1,0))</f>
        <v>1</v>
      </c>
      <c r="V12" s="22" t="n">
        <f aca="false">IF(COUNT(M12:U12)=0,"",SUM(M12:U12))</f>
        <v>9</v>
      </c>
      <c r="W12" s="22" t="n">
        <f aca="false">IF(AND(L12="",V12=""),"",SUM(L12,V12))</f>
        <v>18</v>
      </c>
    </row>
    <row r="13" customFormat="false" ht="15" hidden="false" customHeight="true" outlineLevel="0" collapsed="false">
      <c r="A13" s="23" t="s">
        <v>82</v>
      </c>
      <c r="B13" s="5"/>
      <c r="C13" s="22" t="str">
        <f aca="false">IF(C11="","",MAX(0,2-((C11-C12)-C$3)))</f>
        <v/>
      </c>
      <c r="D13" s="22" t="str">
        <f aca="false">IF(D11="","",MAX(0,2-((D11-D12)-D$3)))</f>
        <v/>
      </c>
      <c r="E13" s="22" t="str">
        <f aca="false">IF(E11="","",MAX(0,2-((E11-E12)-E$3)))</f>
        <v/>
      </c>
      <c r="F13" s="22" t="str">
        <f aca="false">IF(F11="","",MAX(0,2-((F11-F12)-F$3)))</f>
        <v/>
      </c>
      <c r="G13" s="22" t="str">
        <f aca="false">IF(G11="","",MAX(0,2-((G11-G12)-G$3)))</f>
        <v/>
      </c>
      <c r="H13" s="22" t="str">
        <f aca="false">IF(H11="","",MAX(0,2-((H11-H12)-H$3)))</f>
        <v/>
      </c>
      <c r="I13" s="22" t="str">
        <f aca="false">IF(I11="","",MAX(0,2-((I11-I12)-I$3)))</f>
        <v/>
      </c>
      <c r="J13" s="22" t="str">
        <f aca="false">IF(J11="","",MAX(0,2-((J11-J12)-J$3)))</f>
        <v/>
      </c>
      <c r="K13" s="22" t="str">
        <f aca="false">IF(K11="","",MAX(0,2-((K11-K12)-K$3)))</f>
        <v/>
      </c>
      <c r="L13" s="22" t="n">
        <f aca="false">SUM(C13:K13)</f>
        <v>0</v>
      </c>
      <c r="M13" s="22" t="str">
        <f aca="false">IF(M11="","",MAX(0,2-((M11-M12)-M$3)))</f>
        <v/>
      </c>
      <c r="N13" s="22" t="str">
        <f aca="false">IF(N11="","",MAX(0,2-((N11-N12)-N$3)))</f>
        <v/>
      </c>
      <c r="O13" s="22" t="str">
        <f aca="false">IF(O11="","",MAX(0,2-((O11-O12)-O$3)))</f>
        <v/>
      </c>
      <c r="P13" s="22" t="str">
        <f aca="false">IF(P11="","",MAX(0,2-((P11-P12)-P$3)))</f>
        <v/>
      </c>
      <c r="Q13" s="22" t="str">
        <f aca="false">IF(Q11="","",MAX(0,2-((Q11-Q12)-Q$3)))</f>
        <v/>
      </c>
      <c r="R13" s="22" t="str">
        <f aca="false">IF(R11="","",MAX(0,2-((R11-R12)-R$3)))</f>
        <v/>
      </c>
      <c r="S13" s="22" t="str">
        <f aca="false">IF(S11="","",MAX(0,2-((S11-S12)-S$3)))</f>
        <v/>
      </c>
      <c r="T13" s="22" t="str">
        <f aca="false">IF(T11="","",MAX(0,2-((T11-T12)-T$3)))</f>
        <v/>
      </c>
      <c r="U13" s="22" t="str">
        <f aca="false">IF(U11="","",MAX(0,2-((U11-U12)-U$3)))</f>
        <v/>
      </c>
      <c r="V13" s="22" t="n">
        <f aca="false">SUM(M13:U13)</f>
        <v>0</v>
      </c>
      <c r="W13" s="22" t="n">
        <f aca="false">L13+V13</f>
        <v>0</v>
      </c>
    </row>
    <row r="14" customFormat="false" ht="15" hidden="false" customHeight="true" outlineLevel="0" collapsed="false">
      <c r="A14" s="23" t="s">
        <v>83</v>
      </c>
      <c r="B14" s="24" t="n">
        <f aca="false">'Course Handicaps'!H7</f>
        <v>28</v>
      </c>
      <c r="C14" s="21"/>
      <c r="D14" s="21"/>
      <c r="E14" s="21"/>
      <c r="F14" s="21"/>
      <c r="G14" s="21"/>
      <c r="H14" s="21"/>
      <c r="I14" s="21"/>
      <c r="J14" s="21"/>
      <c r="K14" s="21"/>
      <c r="L14" s="22" t="str">
        <f aca="false">IF(COUNT(C14:K14)=0,"",SUM(C14:K14))</f>
        <v/>
      </c>
      <c r="M14" s="21"/>
      <c r="N14" s="21"/>
      <c r="O14" s="21"/>
      <c r="P14" s="21"/>
      <c r="Q14" s="21"/>
      <c r="R14" s="21"/>
      <c r="S14" s="21"/>
      <c r="T14" s="21"/>
      <c r="U14" s="21"/>
      <c r="V14" s="22" t="str">
        <f aca="false">IF(COUNT(M14:U14)=0,"",SUM(M14:U14))</f>
        <v/>
      </c>
      <c r="W14" s="22" t="str">
        <f aca="false">IF(AND(L14="",V14=""),"",SUM(L14,V14))</f>
        <v/>
      </c>
    </row>
    <row r="15" customFormat="false" ht="15" hidden="false" customHeight="true" outlineLevel="0" collapsed="false">
      <c r="A15" s="23" t="s">
        <v>84</v>
      </c>
      <c r="B15" s="5"/>
      <c r="C15" s="22" t="n">
        <f aca="false">IF($B14="","",FLOOR($B14/18,1)+IF(MOD($B14,18)&gt;=C$4,1,0))</f>
        <v>2</v>
      </c>
      <c r="D15" s="22" t="n">
        <f aca="false">IF($B14="","",FLOOR($B14/18,1)+IF(MOD($B14,18)&gt;=D$4,1,0))</f>
        <v>2</v>
      </c>
      <c r="E15" s="22" t="n">
        <f aca="false">IF($B14="","",FLOOR($B14/18,1)+IF(MOD($B14,18)&gt;=E$4,1,0))</f>
        <v>2</v>
      </c>
      <c r="F15" s="22" t="n">
        <f aca="false">IF($B14="","",FLOOR($B14/18,1)+IF(MOD($B14,18)&gt;=F$4,1,0))</f>
        <v>2</v>
      </c>
      <c r="G15" s="22" t="n">
        <f aca="false">IF($B14="","",FLOOR($B14/18,1)+IF(MOD($B14,18)&gt;=G$4,1,0))</f>
        <v>2</v>
      </c>
      <c r="H15" s="22" t="n">
        <f aca="false">IF($B14="","",FLOOR($B14/18,1)+IF(MOD($B14,18)&gt;=H$4,1,0))</f>
        <v>2</v>
      </c>
      <c r="I15" s="22" t="n">
        <f aca="false">IF($B14="","",FLOOR($B14/18,1)+IF(MOD($B14,18)&gt;=I$4,1,0))</f>
        <v>2</v>
      </c>
      <c r="J15" s="22" t="n">
        <f aca="false">IF($B14="","",FLOOR($B14/18,1)+IF(MOD($B14,18)&gt;=J$4,1,0))</f>
        <v>2</v>
      </c>
      <c r="K15" s="22" t="n">
        <f aca="false">IF($B14="","",FLOOR($B14/18,1)+IF(MOD($B14,18)&gt;=K$4,1,0))</f>
        <v>2</v>
      </c>
      <c r="L15" s="22" t="n">
        <f aca="false">IF(COUNT(C15:K15)=0,"",SUM(C15:K15))</f>
        <v>18</v>
      </c>
      <c r="M15" s="22" t="n">
        <f aca="false">IF($B14="","",FLOOR($B14/18,1)+IF(MOD($B14,18)&gt;=M$4,1,0))</f>
        <v>2</v>
      </c>
      <c r="N15" s="22" t="n">
        <f aca="false">IF($B14="","",FLOOR($B14/18,1)+IF(MOD($B14,18)&gt;=N$4,1,0))</f>
        <v>2</v>
      </c>
      <c r="O15" s="22" t="n">
        <f aca="false">IF($B14="","",FLOOR($B14/18,1)+IF(MOD($B14,18)&gt;=O$4,1,0))</f>
        <v>2</v>
      </c>
      <c r="P15" s="22" t="n">
        <f aca="false">IF($B14="","",FLOOR($B14/18,1)+IF(MOD($B14,18)&gt;=P$4,1,0))</f>
        <v>2</v>
      </c>
      <c r="Q15" s="22" t="n">
        <f aca="false">IF($B14="","",FLOOR($B14/18,1)+IF(MOD($B14,18)&gt;=Q$4,1,0))</f>
        <v>2</v>
      </c>
      <c r="R15" s="22" t="n">
        <f aca="false">IF($B14="","",FLOOR($B14/18,1)+IF(MOD($B14,18)&gt;=R$4,1,0))</f>
        <v>2</v>
      </c>
      <c r="S15" s="22" t="n">
        <f aca="false">IF($B14="","",FLOOR($B14/18,1)+IF(MOD($B14,18)&gt;=S$4,1,0))</f>
        <v>2</v>
      </c>
      <c r="T15" s="22" t="n">
        <f aca="false">IF($B14="","",FLOOR($B14/18,1)+IF(MOD($B14,18)&gt;=T$4,1,0))</f>
        <v>2</v>
      </c>
      <c r="U15" s="22" t="n">
        <f aca="false">IF($B14="","",FLOOR($B14/18,1)+IF(MOD($B14,18)&gt;=U$4,1,0))</f>
        <v>2</v>
      </c>
      <c r="V15" s="22" t="n">
        <f aca="false">IF(COUNT(M15:U15)=0,"",SUM(M15:U15))</f>
        <v>18</v>
      </c>
      <c r="W15" s="22" t="n">
        <f aca="false">IF(AND(L15="",V15=""),"",SUM(L15,V15))</f>
        <v>36</v>
      </c>
    </row>
    <row r="16" customFormat="false" ht="15" hidden="false" customHeight="true" outlineLevel="0" collapsed="false">
      <c r="A16" s="23" t="s">
        <v>85</v>
      </c>
      <c r="B16" s="5"/>
      <c r="C16" s="22" t="str">
        <f aca="false">IF(C14="","",MAX(0,2-((C14-C15)-C$3)))</f>
        <v/>
      </c>
      <c r="D16" s="22" t="str">
        <f aca="false">IF(D14="","",MAX(0,2-((D14-D15)-D$3)))</f>
        <v/>
      </c>
      <c r="E16" s="22" t="str">
        <f aca="false">IF(E14="","",MAX(0,2-((E14-E15)-E$3)))</f>
        <v/>
      </c>
      <c r="F16" s="22" t="str">
        <f aca="false">IF(F14="","",MAX(0,2-((F14-F15)-F$3)))</f>
        <v/>
      </c>
      <c r="G16" s="22" t="str">
        <f aca="false">IF(G14="","",MAX(0,2-((G14-G15)-G$3)))</f>
        <v/>
      </c>
      <c r="H16" s="22" t="str">
        <f aca="false">IF(H14="","",MAX(0,2-((H14-H15)-H$3)))</f>
        <v/>
      </c>
      <c r="I16" s="22" t="str">
        <f aca="false">IF(I14="","",MAX(0,2-((I14-I15)-I$3)))</f>
        <v/>
      </c>
      <c r="J16" s="22" t="str">
        <f aca="false">IF(J14="","",MAX(0,2-((J14-J15)-J$3)))</f>
        <v/>
      </c>
      <c r="K16" s="22" t="str">
        <f aca="false">IF(K14="","",MAX(0,2-((K14-K15)-K$3)))</f>
        <v/>
      </c>
      <c r="L16" s="22" t="n">
        <f aca="false">SUM(C16:K16)</f>
        <v>0</v>
      </c>
      <c r="M16" s="22" t="str">
        <f aca="false">IF(M14="","",MAX(0,2-((M14-M15)-M$3)))</f>
        <v/>
      </c>
      <c r="N16" s="22" t="str">
        <f aca="false">IF(N14="","",MAX(0,2-((N14-N15)-N$3)))</f>
        <v/>
      </c>
      <c r="O16" s="22" t="str">
        <f aca="false">IF(O14="","",MAX(0,2-((O14-O15)-O$3)))</f>
        <v/>
      </c>
      <c r="P16" s="22" t="str">
        <f aca="false">IF(P14="","",MAX(0,2-((P14-P15)-P$3)))</f>
        <v/>
      </c>
      <c r="Q16" s="22" t="str">
        <f aca="false">IF(Q14="","",MAX(0,2-((Q14-Q15)-Q$3)))</f>
        <v/>
      </c>
      <c r="R16" s="22" t="str">
        <f aca="false">IF(R14="","",MAX(0,2-((R14-R15)-R$3)))</f>
        <v/>
      </c>
      <c r="S16" s="22" t="str">
        <f aca="false">IF(S14="","",MAX(0,2-((S14-S15)-S$3)))</f>
        <v/>
      </c>
      <c r="T16" s="22" t="str">
        <f aca="false">IF(T14="","",MAX(0,2-((T14-T15)-T$3)))</f>
        <v/>
      </c>
      <c r="U16" s="22" t="str">
        <f aca="false">IF(U14="","",MAX(0,2-((U14-U15)-U$3)))</f>
        <v/>
      </c>
      <c r="V16" s="22" t="n">
        <f aca="false">SUM(M16:U16)</f>
        <v>0</v>
      </c>
      <c r="W16" s="22" t="n">
        <f aca="false">L16+V16</f>
        <v>0</v>
      </c>
    </row>
    <row r="17" customFormat="false" ht="15" hidden="false" customHeight="true" outlineLevel="0" collapsed="false">
      <c r="A17" s="23" t="s">
        <v>86</v>
      </c>
      <c r="B17" s="24" t="n">
        <f aca="false">'Course Handicaps'!H8</f>
        <v>32</v>
      </c>
      <c r="C17" s="21"/>
      <c r="D17" s="21"/>
      <c r="E17" s="21"/>
      <c r="F17" s="21"/>
      <c r="G17" s="21"/>
      <c r="H17" s="21"/>
      <c r="I17" s="21"/>
      <c r="J17" s="21"/>
      <c r="K17" s="21"/>
      <c r="L17" s="22" t="str">
        <f aca="false">IF(COUNT(C17:K17)=0,"",SUM(C17:K17))</f>
        <v/>
      </c>
      <c r="M17" s="21"/>
      <c r="N17" s="21"/>
      <c r="O17" s="21"/>
      <c r="P17" s="21"/>
      <c r="Q17" s="21"/>
      <c r="R17" s="21"/>
      <c r="S17" s="21"/>
      <c r="T17" s="21"/>
      <c r="U17" s="21"/>
      <c r="V17" s="22" t="str">
        <f aca="false">IF(COUNT(M17:U17)=0,"",SUM(M17:U17))</f>
        <v/>
      </c>
      <c r="W17" s="22" t="str">
        <f aca="false">IF(AND(L17="",V17=""),"",SUM(L17,V17))</f>
        <v/>
      </c>
    </row>
    <row r="18" customFormat="false" ht="15" hidden="false" customHeight="true" outlineLevel="0" collapsed="false">
      <c r="A18" s="23" t="s">
        <v>87</v>
      </c>
      <c r="B18" s="5"/>
      <c r="C18" s="22" t="n">
        <f aca="false">IF($B17="","",FLOOR($B17/18,1)+IF(MOD($B17,18)&gt;=C$4,1,0))</f>
        <v>2</v>
      </c>
      <c r="D18" s="22" t="n">
        <f aca="false">IF($B17="","",FLOOR($B17/18,1)+IF(MOD($B17,18)&gt;=D$4,1,0))</f>
        <v>2</v>
      </c>
      <c r="E18" s="22" t="n">
        <f aca="false">IF($B17="","",FLOOR($B17/18,1)+IF(MOD($B17,18)&gt;=E$4,1,0))</f>
        <v>2</v>
      </c>
      <c r="F18" s="22" t="n">
        <f aca="false">IF($B17="","",FLOOR($B17/18,1)+IF(MOD($B17,18)&gt;=F$4,1,0))</f>
        <v>2</v>
      </c>
      <c r="G18" s="22" t="n">
        <f aca="false">IF($B17="","",FLOOR($B17/18,1)+IF(MOD($B17,18)&gt;=G$4,1,0))</f>
        <v>2</v>
      </c>
      <c r="H18" s="22" t="n">
        <f aca="false">IF($B17="","",FLOOR($B17/18,1)+IF(MOD($B17,18)&gt;=H$4,1,0))</f>
        <v>2</v>
      </c>
      <c r="I18" s="22" t="n">
        <f aca="false">IF($B17="","",FLOOR($B17/18,1)+IF(MOD($B17,18)&gt;=I$4,1,0))</f>
        <v>2</v>
      </c>
      <c r="J18" s="22" t="n">
        <f aca="false">IF($B17="","",FLOOR($B17/18,1)+IF(MOD($B17,18)&gt;=J$4,1,0))</f>
        <v>2</v>
      </c>
      <c r="K18" s="22" t="n">
        <f aca="false">IF($B17="","",FLOOR($B17/18,1)+IF(MOD($B17,18)&gt;=K$4,1,0))</f>
        <v>2</v>
      </c>
      <c r="L18" s="22" t="n">
        <f aca="false">IF(COUNT(C18:K18)=0,"",SUM(C18:K18))</f>
        <v>18</v>
      </c>
      <c r="M18" s="22" t="n">
        <f aca="false">IF($B17="","",FLOOR($B17/18,1)+IF(MOD($B17,18)&gt;=M$4,1,0))</f>
        <v>2</v>
      </c>
      <c r="N18" s="22" t="n">
        <f aca="false">IF($B17="","",FLOOR($B17/18,1)+IF(MOD($B17,18)&gt;=N$4,1,0))</f>
        <v>2</v>
      </c>
      <c r="O18" s="22" t="n">
        <f aca="false">IF($B17="","",FLOOR($B17/18,1)+IF(MOD($B17,18)&gt;=O$4,1,0))</f>
        <v>2</v>
      </c>
      <c r="P18" s="22" t="n">
        <f aca="false">IF($B17="","",FLOOR($B17/18,1)+IF(MOD($B17,18)&gt;=P$4,1,0))</f>
        <v>2</v>
      </c>
      <c r="Q18" s="22" t="n">
        <f aca="false">IF($B17="","",FLOOR($B17/18,1)+IF(MOD($B17,18)&gt;=Q$4,1,0))</f>
        <v>2</v>
      </c>
      <c r="R18" s="22" t="n">
        <f aca="false">IF($B17="","",FLOOR($B17/18,1)+IF(MOD($B17,18)&gt;=R$4,1,0))</f>
        <v>2</v>
      </c>
      <c r="S18" s="22" t="n">
        <f aca="false">IF($B17="","",FLOOR($B17/18,1)+IF(MOD($B17,18)&gt;=S$4,1,0))</f>
        <v>2</v>
      </c>
      <c r="T18" s="22" t="n">
        <f aca="false">IF($B17="","",FLOOR($B17/18,1)+IF(MOD($B17,18)&gt;=T$4,1,0))</f>
        <v>2</v>
      </c>
      <c r="U18" s="22" t="n">
        <f aca="false">IF($B17="","",FLOOR($B17/18,1)+IF(MOD($B17,18)&gt;=U$4,1,0))</f>
        <v>2</v>
      </c>
      <c r="V18" s="22" t="n">
        <f aca="false">IF(COUNT(M18:U18)=0,"",SUM(M18:U18))</f>
        <v>18</v>
      </c>
      <c r="W18" s="22" t="n">
        <f aca="false">IF(AND(L18="",V18=""),"",SUM(L18,V18))</f>
        <v>36</v>
      </c>
    </row>
    <row r="19" customFormat="false" ht="15" hidden="false" customHeight="true" outlineLevel="0" collapsed="false">
      <c r="A19" s="23" t="s">
        <v>88</v>
      </c>
      <c r="B19" s="5"/>
      <c r="C19" s="22" t="str">
        <f aca="false">IF(C17="","",MAX(0,2-((C17-C18)-C$3)))</f>
        <v/>
      </c>
      <c r="D19" s="22" t="str">
        <f aca="false">IF(D17="","",MAX(0,2-((D17-D18)-D$3)))</f>
        <v/>
      </c>
      <c r="E19" s="22" t="str">
        <f aca="false">IF(E17="","",MAX(0,2-((E17-E18)-E$3)))</f>
        <v/>
      </c>
      <c r="F19" s="22" t="str">
        <f aca="false">IF(F17="","",MAX(0,2-((F17-F18)-F$3)))</f>
        <v/>
      </c>
      <c r="G19" s="22" t="str">
        <f aca="false">IF(G17="","",MAX(0,2-((G17-G18)-G$3)))</f>
        <v/>
      </c>
      <c r="H19" s="22" t="str">
        <f aca="false">IF(H17="","",MAX(0,2-((H17-H18)-H$3)))</f>
        <v/>
      </c>
      <c r="I19" s="22" t="str">
        <f aca="false">IF(I17="","",MAX(0,2-((I17-I18)-I$3)))</f>
        <v/>
      </c>
      <c r="J19" s="22" t="str">
        <f aca="false">IF(J17="","",MAX(0,2-((J17-J18)-J$3)))</f>
        <v/>
      </c>
      <c r="K19" s="22" t="str">
        <f aca="false">IF(K17="","",MAX(0,2-((K17-K18)-K$3)))</f>
        <v/>
      </c>
      <c r="L19" s="22" t="n">
        <f aca="false">SUM(C19:K19)</f>
        <v>0</v>
      </c>
      <c r="M19" s="22" t="str">
        <f aca="false">IF(M17="","",MAX(0,2-((M17-M18)-M$3)))</f>
        <v/>
      </c>
      <c r="N19" s="22" t="str">
        <f aca="false">IF(N17="","",MAX(0,2-((N17-N18)-N$3)))</f>
        <v/>
      </c>
      <c r="O19" s="22" t="str">
        <f aca="false">IF(O17="","",MAX(0,2-((O17-O18)-O$3)))</f>
        <v/>
      </c>
      <c r="P19" s="22" t="str">
        <f aca="false">IF(P17="","",MAX(0,2-((P17-P18)-P$3)))</f>
        <v/>
      </c>
      <c r="Q19" s="22" t="str">
        <f aca="false">IF(Q17="","",MAX(0,2-((Q17-Q18)-Q$3)))</f>
        <v/>
      </c>
      <c r="R19" s="22" t="str">
        <f aca="false">IF(R17="","",MAX(0,2-((R17-R18)-R$3)))</f>
        <v/>
      </c>
      <c r="S19" s="22" t="str">
        <f aca="false">IF(S17="","",MAX(0,2-((S17-S18)-S$3)))</f>
        <v/>
      </c>
      <c r="T19" s="22" t="str">
        <f aca="false">IF(T17="","",MAX(0,2-((T17-T18)-T$3)))</f>
        <v/>
      </c>
      <c r="U19" s="22" t="str">
        <f aca="false">IF(U17="","",MAX(0,2-((U17-U18)-U$3)))</f>
        <v/>
      </c>
      <c r="V19" s="22" t="n">
        <f aca="false">SUM(M19:U19)</f>
        <v>0</v>
      </c>
      <c r="W19" s="22" t="n">
        <f aca="false">L19+V19</f>
        <v>0</v>
      </c>
    </row>
    <row r="20" customFormat="false" ht="15" hidden="false" customHeight="true" outlineLevel="0" collapsed="false">
      <c r="A20" s="23" t="s">
        <v>89</v>
      </c>
      <c r="B20" s="24" t="n">
        <f aca="false">'Course Handicaps'!H9</f>
        <v>23</v>
      </c>
      <c r="C20" s="21"/>
      <c r="D20" s="21"/>
      <c r="E20" s="21"/>
      <c r="F20" s="21"/>
      <c r="G20" s="21"/>
      <c r="H20" s="21"/>
      <c r="I20" s="21"/>
      <c r="J20" s="21"/>
      <c r="K20" s="21"/>
      <c r="L20" s="22" t="str">
        <f aca="false">IF(COUNT(C20:K20)=0,"",SUM(C20:K20))</f>
        <v/>
      </c>
      <c r="M20" s="21"/>
      <c r="N20" s="21"/>
      <c r="O20" s="21"/>
      <c r="P20" s="21"/>
      <c r="Q20" s="21"/>
      <c r="R20" s="21"/>
      <c r="S20" s="21"/>
      <c r="T20" s="21"/>
      <c r="U20" s="21"/>
      <c r="V20" s="22" t="str">
        <f aca="false">IF(COUNT(M20:U20)=0,"",SUM(M20:U20))</f>
        <v/>
      </c>
      <c r="W20" s="22" t="str">
        <f aca="false">IF(AND(L20="",V20=""),"",SUM(L20,V20))</f>
        <v/>
      </c>
    </row>
    <row r="21" customFormat="false" ht="15" hidden="false" customHeight="true" outlineLevel="0" collapsed="false">
      <c r="A21" s="23" t="s">
        <v>90</v>
      </c>
      <c r="B21" s="5"/>
      <c r="C21" s="22" t="n">
        <f aca="false">IF($B20="","",FLOOR($B20/18,1)+IF(MOD($B20,18)&gt;=C$4,1,0))</f>
        <v>2</v>
      </c>
      <c r="D21" s="22" t="n">
        <f aca="false">IF($B20="","",FLOOR($B20/18,1)+IF(MOD($B20,18)&gt;=D$4,1,0))</f>
        <v>2</v>
      </c>
      <c r="E21" s="22" t="n">
        <f aca="false">IF($B20="","",FLOOR($B20/18,1)+IF(MOD($B20,18)&gt;=E$4,1,0))</f>
        <v>2</v>
      </c>
      <c r="F21" s="22" t="n">
        <f aca="false">IF($B20="","",FLOOR($B20/18,1)+IF(MOD($B20,18)&gt;=F$4,1,0))</f>
        <v>2</v>
      </c>
      <c r="G21" s="22" t="n">
        <f aca="false">IF($B20="","",FLOOR($B20/18,1)+IF(MOD($B20,18)&gt;=G$4,1,0))</f>
        <v>2</v>
      </c>
      <c r="H21" s="22" t="n">
        <f aca="false">IF($B20="","",FLOOR($B20/18,1)+IF(MOD($B20,18)&gt;=H$4,1,0))</f>
        <v>2</v>
      </c>
      <c r="I21" s="22" t="n">
        <f aca="false">IF($B20="","",FLOOR($B20/18,1)+IF(MOD($B20,18)&gt;=I$4,1,0))</f>
        <v>2</v>
      </c>
      <c r="J21" s="22" t="n">
        <f aca="false">IF($B20="","",FLOOR($B20/18,1)+IF(MOD($B20,18)&gt;=J$4,1,0))</f>
        <v>2</v>
      </c>
      <c r="K21" s="22" t="n">
        <f aca="false">IF($B20="","",FLOOR($B20/18,1)+IF(MOD($B20,18)&gt;=K$4,1,0))</f>
        <v>2</v>
      </c>
      <c r="L21" s="22" t="n">
        <f aca="false">IF(COUNT(C21:K21)=0,"",SUM(C21:K21))</f>
        <v>18</v>
      </c>
      <c r="M21" s="22" t="n">
        <f aca="false">IF($B20="","",FLOOR($B20/18,1)+IF(MOD($B20,18)&gt;=M$4,1,0))</f>
        <v>2</v>
      </c>
      <c r="N21" s="22" t="n">
        <f aca="false">IF($B20="","",FLOOR($B20/18,1)+IF(MOD($B20,18)&gt;=N$4,1,0))</f>
        <v>2</v>
      </c>
      <c r="O21" s="22" t="n">
        <f aca="false">IF($B20="","",FLOOR($B20/18,1)+IF(MOD($B20,18)&gt;=O$4,1,0))</f>
        <v>2</v>
      </c>
      <c r="P21" s="22" t="n">
        <f aca="false">IF($B20="","",FLOOR($B20/18,1)+IF(MOD($B20,18)&gt;=P$4,1,0))</f>
        <v>2</v>
      </c>
      <c r="Q21" s="22" t="n">
        <f aca="false">IF($B20="","",FLOOR($B20/18,1)+IF(MOD($B20,18)&gt;=Q$4,1,0))</f>
        <v>2</v>
      </c>
      <c r="R21" s="22" t="n">
        <f aca="false">IF($B20="","",FLOOR($B20/18,1)+IF(MOD($B20,18)&gt;=R$4,1,0))</f>
        <v>2</v>
      </c>
      <c r="S21" s="22" t="n">
        <f aca="false">IF($B20="","",FLOOR($B20/18,1)+IF(MOD($B20,18)&gt;=S$4,1,0))</f>
        <v>2</v>
      </c>
      <c r="T21" s="22" t="n">
        <f aca="false">IF($B20="","",FLOOR($B20/18,1)+IF(MOD($B20,18)&gt;=T$4,1,0))</f>
        <v>2</v>
      </c>
      <c r="U21" s="22" t="n">
        <f aca="false">IF($B20="","",FLOOR($B20/18,1)+IF(MOD($B20,18)&gt;=U$4,1,0))</f>
        <v>2</v>
      </c>
      <c r="V21" s="22" t="n">
        <f aca="false">IF(COUNT(M21:U21)=0,"",SUM(M21:U21))</f>
        <v>18</v>
      </c>
      <c r="W21" s="22" t="n">
        <f aca="false">IF(AND(L21="",V21=""),"",SUM(L21,V21))</f>
        <v>36</v>
      </c>
    </row>
    <row r="22" customFormat="false" ht="15" hidden="false" customHeight="true" outlineLevel="0" collapsed="false">
      <c r="A22" s="23" t="s">
        <v>91</v>
      </c>
      <c r="B22" s="5"/>
      <c r="C22" s="22" t="str">
        <f aca="false">IF(C20="","",MAX(0,2-((C20-C21)-C$3)))</f>
        <v/>
      </c>
      <c r="D22" s="22" t="str">
        <f aca="false">IF(D20="","",MAX(0,2-((D20-D21)-D$3)))</f>
        <v/>
      </c>
      <c r="E22" s="22" t="str">
        <f aca="false">IF(E20="","",MAX(0,2-((E20-E21)-E$3)))</f>
        <v/>
      </c>
      <c r="F22" s="22" t="str">
        <f aca="false">IF(F20="","",MAX(0,2-((F20-F21)-F$3)))</f>
        <v/>
      </c>
      <c r="G22" s="22" t="str">
        <f aca="false">IF(G20="","",MAX(0,2-((G20-G21)-G$3)))</f>
        <v/>
      </c>
      <c r="H22" s="22" t="str">
        <f aca="false">IF(H20="","",MAX(0,2-((H20-H21)-H$3)))</f>
        <v/>
      </c>
      <c r="I22" s="22" t="str">
        <f aca="false">IF(I20="","",MAX(0,2-((I20-I21)-I$3)))</f>
        <v/>
      </c>
      <c r="J22" s="22" t="str">
        <f aca="false">IF(J20="","",MAX(0,2-((J20-J21)-J$3)))</f>
        <v/>
      </c>
      <c r="K22" s="22" t="str">
        <f aca="false">IF(K20="","",MAX(0,2-((K20-K21)-K$3)))</f>
        <v/>
      </c>
      <c r="L22" s="22" t="n">
        <f aca="false">SUM(C22:K22)</f>
        <v>0</v>
      </c>
      <c r="M22" s="22" t="str">
        <f aca="false">IF(M20="","",MAX(0,2-((M20-M21)-M$3)))</f>
        <v/>
      </c>
      <c r="N22" s="22" t="str">
        <f aca="false">IF(N20="","",MAX(0,2-((N20-N21)-N$3)))</f>
        <v/>
      </c>
      <c r="O22" s="22" t="str">
        <f aca="false">IF(O20="","",MAX(0,2-((O20-O21)-O$3)))</f>
        <v/>
      </c>
      <c r="P22" s="22" t="str">
        <f aca="false">IF(P20="","",MAX(0,2-((P20-P21)-P$3)))</f>
        <v/>
      </c>
      <c r="Q22" s="22" t="str">
        <f aca="false">IF(Q20="","",MAX(0,2-((Q20-Q21)-Q$3)))</f>
        <v/>
      </c>
      <c r="R22" s="22" t="str">
        <f aca="false">IF(R20="","",MAX(0,2-((R20-R21)-R$3)))</f>
        <v/>
      </c>
      <c r="S22" s="22" t="str">
        <f aca="false">IF(S20="","",MAX(0,2-((S20-S21)-S$3)))</f>
        <v/>
      </c>
      <c r="T22" s="22" t="str">
        <f aca="false">IF(T20="","",MAX(0,2-((T20-T21)-T$3)))</f>
        <v/>
      </c>
      <c r="U22" s="22" t="str">
        <f aca="false">IF(U20="","",MAX(0,2-((U20-U21)-U$3)))</f>
        <v/>
      </c>
      <c r="V22" s="22" t="n">
        <f aca="false">SUM(M22:U22)</f>
        <v>0</v>
      </c>
      <c r="W22" s="22" t="n">
        <f aca="false">L22+V22</f>
        <v>0</v>
      </c>
    </row>
    <row r="23" customFormat="false" ht="15" hidden="false" customHeight="true" outlineLevel="0" collapsed="false">
      <c r="A23" s="23" t="s">
        <v>92</v>
      </c>
      <c r="B23" s="24" t="n">
        <f aca="false">'Course Handicaps'!H10</f>
        <v>19</v>
      </c>
      <c r="C23" s="21"/>
      <c r="D23" s="21"/>
      <c r="E23" s="21"/>
      <c r="F23" s="21"/>
      <c r="G23" s="21"/>
      <c r="H23" s="21"/>
      <c r="I23" s="21"/>
      <c r="J23" s="21"/>
      <c r="K23" s="21"/>
      <c r="L23" s="22" t="str">
        <f aca="false">IF(COUNT(C23:K23)=0,"",SUM(C23:K23))</f>
        <v/>
      </c>
      <c r="M23" s="21"/>
      <c r="N23" s="21"/>
      <c r="O23" s="21"/>
      <c r="P23" s="21"/>
      <c r="Q23" s="21"/>
      <c r="R23" s="21"/>
      <c r="S23" s="21"/>
      <c r="T23" s="21"/>
      <c r="U23" s="21"/>
      <c r="V23" s="22" t="str">
        <f aca="false">IF(COUNT(M23:U23)=0,"",SUM(M23:U23))</f>
        <v/>
      </c>
      <c r="W23" s="22" t="str">
        <f aca="false">IF(AND(L23="",V23=""),"",SUM(L23,V23))</f>
        <v/>
      </c>
    </row>
    <row r="24" customFormat="false" ht="15" hidden="false" customHeight="true" outlineLevel="0" collapsed="false">
      <c r="A24" s="23" t="s">
        <v>93</v>
      </c>
      <c r="B24" s="5"/>
      <c r="C24" s="22" t="n">
        <f aca="false">IF($B23="","",FLOOR($B23/18,1)+IF(MOD($B23,18)&gt;=C$4,1,0))</f>
        <v>2</v>
      </c>
      <c r="D24" s="22" t="n">
        <f aca="false">IF($B23="","",FLOOR($B23/18,1)+IF(MOD($B23,18)&gt;=D$4,1,0))</f>
        <v>2</v>
      </c>
      <c r="E24" s="22" t="n">
        <f aca="false">IF($B23="","",FLOOR($B23/18,1)+IF(MOD($B23,18)&gt;=E$4,1,0))</f>
        <v>2</v>
      </c>
      <c r="F24" s="22" t="n">
        <f aca="false">IF($B23="","",FLOOR($B23/18,1)+IF(MOD($B23,18)&gt;=F$4,1,0))</f>
        <v>2</v>
      </c>
      <c r="G24" s="22" t="n">
        <f aca="false">IF($B23="","",FLOOR($B23/18,1)+IF(MOD($B23,18)&gt;=G$4,1,0))</f>
        <v>2</v>
      </c>
      <c r="H24" s="22" t="n">
        <f aca="false">IF($B23="","",FLOOR($B23/18,1)+IF(MOD($B23,18)&gt;=H$4,1,0))</f>
        <v>2</v>
      </c>
      <c r="I24" s="22" t="n">
        <f aca="false">IF($B23="","",FLOOR($B23/18,1)+IF(MOD($B23,18)&gt;=I$4,1,0))</f>
        <v>2</v>
      </c>
      <c r="J24" s="22" t="n">
        <f aca="false">IF($B23="","",FLOOR($B23/18,1)+IF(MOD($B23,18)&gt;=J$4,1,0))</f>
        <v>2</v>
      </c>
      <c r="K24" s="22" t="n">
        <f aca="false">IF($B23="","",FLOOR($B23/18,1)+IF(MOD($B23,18)&gt;=K$4,1,0))</f>
        <v>2</v>
      </c>
      <c r="L24" s="22" t="n">
        <f aca="false">IF(COUNT(C24:K24)=0,"",SUM(C24:K24))</f>
        <v>18</v>
      </c>
      <c r="M24" s="22" t="n">
        <f aca="false">IF($B23="","",FLOOR($B23/18,1)+IF(MOD($B23,18)&gt;=M$4,1,0))</f>
        <v>2</v>
      </c>
      <c r="N24" s="22" t="n">
        <f aca="false">IF($B23="","",FLOOR($B23/18,1)+IF(MOD($B23,18)&gt;=N$4,1,0))</f>
        <v>2</v>
      </c>
      <c r="O24" s="22" t="n">
        <f aca="false">IF($B23="","",FLOOR($B23/18,1)+IF(MOD($B23,18)&gt;=O$4,1,0))</f>
        <v>2</v>
      </c>
      <c r="P24" s="22" t="n">
        <f aca="false">IF($B23="","",FLOOR($B23/18,1)+IF(MOD($B23,18)&gt;=P$4,1,0))</f>
        <v>2</v>
      </c>
      <c r="Q24" s="22" t="n">
        <f aca="false">IF($B23="","",FLOOR($B23/18,1)+IF(MOD($B23,18)&gt;=Q$4,1,0))</f>
        <v>2</v>
      </c>
      <c r="R24" s="22" t="n">
        <f aca="false">IF($B23="","",FLOOR($B23/18,1)+IF(MOD($B23,18)&gt;=R$4,1,0))</f>
        <v>2</v>
      </c>
      <c r="S24" s="22" t="n">
        <f aca="false">IF($B23="","",FLOOR($B23/18,1)+IF(MOD($B23,18)&gt;=S$4,1,0))</f>
        <v>2</v>
      </c>
      <c r="T24" s="22" t="n">
        <f aca="false">IF($B23="","",FLOOR($B23/18,1)+IF(MOD($B23,18)&gt;=T$4,1,0))</f>
        <v>2</v>
      </c>
      <c r="U24" s="22" t="n">
        <f aca="false">IF($B23="","",FLOOR($B23/18,1)+IF(MOD($B23,18)&gt;=U$4,1,0))</f>
        <v>2</v>
      </c>
      <c r="V24" s="22" t="n">
        <f aca="false">IF(COUNT(M24:U24)=0,"",SUM(M24:U24))</f>
        <v>18</v>
      </c>
      <c r="W24" s="22" t="n">
        <f aca="false">IF(AND(L24="",V24=""),"",SUM(L24,V24))</f>
        <v>36</v>
      </c>
    </row>
    <row r="25" customFormat="false" ht="15" hidden="false" customHeight="true" outlineLevel="0" collapsed="false">
      <c r="A25" s="23" t="s">
        <v>94</v>
      </c>
      <c r="B25" s="5"/>
      <c r="C25" s="22" t="str">
        <f aca="false">IF(C23="","",MAX(0,2-((C23-C24)-C$3)))</f>
        <v/>
      </c>
      <c r="D25" s="22" t="str">
        <f aca="false">IF(D23="","",MAX(0,2-((D23-D24)-D$3)))</f>
        <v/>
      </c>
      <c r="E25" s="22" t="str">
        <f aca="false">IF(E23="","",MAX(0,2-((E23-E24)-E$3)))</f>
        <v/>
      </c>
      <c r="F25" s="22" t="str">
        <f aca="false">IF(F23="","",MAX(0,2-((F23-F24)-F$3)))</f>
        <v/>
      </c>
      <c r="G25" s="22" t="str">
        <f aca="false">IF(G23="","",MAX(0,2-((G23-G24)-G$3)))</f>
        <v/>
      </c>
      <c r="H25" s="22" t="str">
        <f aca="false">IF(H23="","",MAX(0,2-((H23-H24)-H$3)))</f>
        <v/>
      </c>
      <c r="I25" s="22" t="str">
        <f aca="false">IF(I23="","",MAX(0,2-((I23-I24)-I$3)))</f>
        <v/>
      </c>
      <c r="J25" s="22" t="str">
        <f aca="false">IF(J23="","",MAX(0,2-((J23-J24)-J$3)))</f>
        <v/>
      </c>
      <c r="K25" s="22" t="str">
        <f aca="false">IF(K23="","",MAX(0,2-((K23-K24)-K$3)))</f>
        <v/>
      </c>
      <c r="L25" s="22" t="n">
        <f aca="false">SUM(C25:K25)</f>
        <v>0</v>
      </c>
      <c r="M25" s="22" t="str">
        <f aca="false">IF(M23="","",MAX(0,2-((M23-M24)-M$3)))</f>
        <v/>
      </c>
      <c r="N25" s="22" t="str">
        <f aca="false">IF(N23="","",MAX(0,2-((N23-N24)-N$3)))</f>
        <v/>
      </c>
      <c r="O25" s="22" t="str">
        <f aca="false">IF(O23="","",MAX(0,2-((O23-O24)-O$3)))</f>
        <v/>
      </c>
      <c r="P25" s="22" t="str">
        <f aca="false">IF(P23="","",MAX(0,2-((P23-P24)-P$3)))</f>
        <v/>
      </c>
      <c r="Q25" s="22" t="str">
        <f aca="false">IF(Q23="","",MAX(0,2-((Q23-Q24)-Q$3)))</f>
        <v/>
      </c>
      <c r="R25" s="22" t="str">
        <f aca="false">IF(R23="","",MAX(0,2-((R23-R24)-R$3)))</f>
        <v/>
      </c>
      <c r="S25" s="22" t="str">
        <f aca="false">IF(S23="","",MAX(0,2-((S23-S24)-S$3)))</f>
        <v/>
      </c>
      <c r="T25" s="22" t="str">
        <f aca="false">IF(T23="","",MAX(0,2-((T23-T24)-T$3)))</f>
        <v/>
      </c>
      <c r="U25" s="22" t="str">
        <f aca="false">IF(U23="","",MAX(0,2-((U23-U24)-U$3)))</f>
        <v/>
      </c>
      <c r="V25" s="22" t="n">
        <f aca="false">SUM(M25:U25)</f>
        <v>0</v>
      </c>
      <c r="W25" s="22" t="n">
        <f aca="false">L25+V25</f>
        <v>0</v>
      </c>
    </row>
    <row r="26" customFormat="false" ht="15" hidden="false" customHeight="true" outlineLevel="0" collapsed="false">
      <c r="A26" s="23" t="s">
        <v>95</v>
      </c>
      <c r="B26" s="24" t="n">
        <f aca="false">'Course Handicaps'!H11</f>
        <v>31</v>
      </c>
      <c r="C26" s="21"/>
      <c r="D26" s="21"/>
      <c r="E26" s="21"/>
      <c r="F26" s="21"/>
      <c r="G26" s="21"/>
      <c r="H26" s="21"/>
      <c r="I26" s="21"/>
      <c r="J26" s="21"/>
      <c r="K26" s="21"/>
      <c r="L26" s="22" t="str">
        <f aca="false">IF(COUNT(C26:K26)=0,"",SUM(C26:K26))</f>
        <v/>
      </c>
      <c r="M26" s="21"/>
      <c r="N26" s="21"/>
      <c r="O26" s="21"/>
      <c r="P26" s="21"/>
      <c r="Q26" s="21"/>
      <c r="R26" s="21"/>
      <c r="S26" s="21"/>
      <c r="T26" s="21"/>
      <c r="U26" s="21"/>
      <c r="V26" s="22" t="str">
        <f aca="false">IF(COUNT(M26:U26)=0,"",SUM(M26:U26))</f>
        <v/>
      </c>
      <c r="W26" s="22" t="str">
        <f aca="false">IF(AND(L26="",V26=""),"",SUM(L26,V26))</f>
        <v/>
      </c>
    </row>
    <row r="27" customFormat="false" ht="15" hidden="false" customHeight="true" outlineLevel="0" collapsed="false">
      <c r="A27" s="23" t="s">
        <v>96</v>
      </c>
      <c r="B27" s="5"/>
      <c r="C27" s="22" t="n">
        <f aca="false">IF($B26="","",FLOOR($B26/18,1)+IF(MOD($B26,18)&gt;=C$4,1,0))</f>
        <v>2</v>
      </c>
      <c r="D27" s="22" t="n">
        <f aca="false">IF($B26="","",FLOOR($B26/18,1)+IF(MOD($B26,18)&gt;=D$4,1,0))</f>
        <v>2</v>
      </c>
      <c r="E27" s="22" t="n">
        <f aca="false">IF($B26="","",FLOOR($B26/18,1)+IF(MOD($B26,18)&gt;=E$4,1,0))</f>
        <v>2</v>
      </c>
      <c r="F27" s="22" t="n">
        <f aca="false">IF($B26="","",FLOOR($B26/18,1)+IF(MOD($B26,18)&gt;=F$4,1,0))</f>
        <v>2</v>
      </c>
      <c r="G27" s="22" t="n">
        <f aca="false">IF($B26="","",FLOOR($B26/18,1)+IF(MOD($B26,18)&gt;=G$4,1,0))</f>
        <v>2</v>
      </c>
      <c r="H27" s="22" t="n">
        <f aca="false">IF($B26="","",FLOOR($B26/18,1)+IF(MOD($B26,18)&gt;=H$4,1,0))</f>
        <v>2</v>
      </c>
      <c r="I27" s="22" t="n">
        <f aca="false">IF($B26="","",FLOOR($B26/18,1)+IF(MOD($B26,18)&gt;=I$4,1,0))</f>
        <v>2</v>
      </c>
      <c r="J27" s="22" t="n">
        <f aca="false">IF($B26="","",FLOOR($B26/18,1)+IF(MOD($B26,18)&gt;=J$4,1,0))</f>
        <v>2</v>
      </c>
      <c r="K27" s="22" t="n">
        <f aca="false">IF($B26="","",FLOOR($B26/18,1)+IF(MOD($B26,18)&gt;=K$4,1,0))</f>
        <v>2</v>
      </c>
      <c r="L27" s="22" t="n">
        <f aca="false">IF(COUNT(C27:K27)=0,"",SUM(C27:K27))</f>
        <v>18</v>
      </c>
      <c r="M27" s="22" t="n">
        <f aca="false">IF($B26="","",FLOOR($B26/18,1)+IF(MOD($B26,18)&gt;=M$4,1,0))</f>
        <v>2</v>
      </c>
      <c r="N27" s="22" t="n">
        <f aca="false">IF($B26="","",FLOOR($B26/18,1)+IF(MOD($B26,18)&gt;=N$4,1,0))</f>
        <v>2</v>
      </c>
      <c r="O27" s="22" t="n">
        <f aca="false">IF($B26="","",FLOOR($B26/18,1)+IF(MOD($B26,18)&gt;=O$4,1,0))</f>
        <v>2</v>
      </c>
      <c r="P27" s="22" t="n">
        <f aca="false">IF($B26="","",FLOOR($B26/18,1)+IF(MOD($B26,18)&gt;=P$4,1,0))</f>
        <v>2</v>
      </c>
      <c r="Q27" s="22" t="n">
        <f aca="false">IF($B26="","",FLOOR($B26/18,1)+IF(MOD($B26,18)&gt;=Q$4,1,0))</f>
        <v>2</v>
      </c>
      <c r="R27" s="22" t="n">
        <f aca="false">IF($B26="","",FLOOR($B26/18,1)+IF(MOD($B26,18)&gt;=R$4,1,0))</f>
        <v>2</v>
      </c>
      <c r="S27" s="22" t="n">
        <f aca="false">IF($B26="","",FLOOR($B26/18,1)+IF(MOD($B26,18)&gt;=S$4,1,0))</f>
        <v>2</v>
      </c>
      <c r="T27" s="22" t="n">
        <f aca="false">IF($B26="","",FLOOR($B26/18,1)+IF(MOD($B26,18)&gt;=T$4,1,0))</f>
        <v>2</v>
      </c>
      <c r="U27" s="22" t="n">
        <f aca="false">IF($B26="","",FLOOR($B26/18,1)+IF(MOD($B26,18)&gt;=U$4,1,0))</f>
        <v>2</v>
      </c>
      <c r="V27" s="22" t="n">
        <f aca="false">IF(COUNT(M27:U27)=0,"",SUM(M27:U27))</f>
        <v>18</v>
      </c>
      <c r="W27" s="22" t="n">
        <f aca="false">IF(AND(L27="",V27=""),"",SUM(L27,V27))</f>
        <v>36</v>
      </c>
    </row>
    <row r="28" customFormat="false" ht="15" hidden="false" customHeight="true" outlineLevel="0" collapsed="false">
      <c r="A28" s="23" t="s">
        <v>97</v>
      </c>
      <c r="B28" s="5"/>
      <c r="C28" s="22" t="str">
        <f aca="false">IF(C26="","",MAX(0,2-((C26-C27)-C$3)))</f>
        <v/>
      </c>
      <c r="D28" s="22" t="str">
        <f aca="false">IF(D26="","",MAX(0,2-((D26-D27)-D$3)))</f>
        <v/>
      </c>
      <c r="E28" s="22" t="str">
        <f aca="false">IF(E26="","",MAX(0,2-((E26-E27)-E$3)))</f>
        <v/>
      </c>
      <c r="F28" s="22" t="str">
        <f aca="false">IF(F26="","",MAX(0,2-((F26-F27)-F$3)))</f>
        <v/>
      </c>
      <c r="G28" s="22" t="str">
        <f aca="false">IF(G26="","",MAX(0,2-((G26-G27)-G$3)))</f>
        <v/>
      </c>
      <c r="H28" s="22" t="str">
        <f aca="false">IF(H26="","",MAX(0,2-((H26-H27)-H$3)))</f>
        <v/>
      </c>
      <c r="I28" s="22" t="str">
        <f aca="false">IF(I26="","",MAX(0,2-((I26-I27)-I$3)))</f>
        <v/>
      </c>
      <c r="J28" s="22" t="str">
        <f aca="false">IF(J26="","",MAX(0,2-((J26-J27)-J$3)))</f>
        <v/>
      </c>
      <c r="K28" s="22" t="str">
        <f aca="false">IF(K26="","",MAX(0,2-((K26-K27)-K$3)))</f>
        <v/>
      </c>
      <c r="L28" s="22" t="n">
        <f aca="false">SUM(C28:K28)</f>
        <v>0</v>
      </c>
      <c r="M28" s="22" t="str">
        <f aca="false">IF(M26="","",MAX(0,2-((M26-M27)-M$3)))</f>
        <v/>
      </c>
      <c r="N28" s="22" t="str">
        <f aca="false">IF(N26="","",MAX(0,2-((N26-N27)-N$3)))</f>
        <v/>
      </c>
      <c r="O28" s="22" t="str">
        <f aca="false">IF(O26="","",MAX(0,2-((O26-O27)-O$3)))</f>
        <v/>
      </c>
      <c r="P28" s="22" t="str">
        <f aca="false">IF(P26="","",MAX(0,2-((P26-P27)-P$3)))</f>
        <v/>
      </c>
      <c r="Q28" s="22" t="str">
        <f aca="false">IF(Q26="","",MAX(0,2-((Q26-Q27)-Q$3)))</f>
        <v/>
      </c>
      <c r="R28" s="22" t="str">
        <f aca="false">IF(R26="","",MAX(0,2-((R26-R27)-R$3)))</f>
        <v/>
      </c>
      <c r="S28" s="22" t="str">
        <f aca="false">IF(S26="","",MAX(0,2-((S26-S27)-S$3)))</f>
        <v/>
      </c>
      <c r="T28" s="22" t="str">
        <f aca="false">IF(T26="","",MAX(0,2-((T26-T27)-T$3)))</f>
        <v/>
      </c>
      <c r="U28" s="22" t="str">
        <f aca="false">IF(U26="","",MAX(0,2-((U26-U27)-U$3)))</f>
        <v/>
      </c>
      <c r="V28" s="22" t="n">
        <f aca="false">SUM(M28:U28)</f>
        <v>0</v>
      </c>
      <c r="W28" s="22" t="n">
        <f aca="false">L28+V28</f>
        <v>0</v>
      </c>
    </row>
    <row r="29" customFormat="false" ht="15" hidden="false" customHeight="true" outlineLevel="0" collapsed="false">
      <c r="A29" s="5"/>
      <c r="B29" s="5"/>
      <c r="C29" s="5"/>
      <c r="D29" s="5"/>
      <c r="E29" s="5"/>
      <c r="F29" s="5"/>
      <c r="G29" s="5"/>
      <c r="H29" s="5"/>
      <c r="I29" s="5"/>
      <c r="J29" s="5"/>
      <c r="K29" s="5"/>
      <c r="L29" s="5"/>
      <c r="M29" s="5"/>
      <c r="N29" s="5"/>
      <c r="O29" s="5"/>
      <c r="P29" s="5"/>
      <c r="Q29" s="5"/>
      <c r="R29" s="5"/>
      <c r="S29" s="5"/>
      <c r="T29" s="5"/>
      <c r="U29" s="5"/>
      <c r="V29" s="5"/>
      <c r="W29" s="5"/>
    </row>
    <row r="30" customFormat="false" ht="15" hidden="false" customHeight="true" outlineLevel="0" collapsed="false">
      <c r="A30" s="18" t="s">
        <v>98</v>
      </c>
      <c r="B30" s="18"/>
      <c r="C30" s="18"/>
      <c r="D30" s="18"/>
      <c r="E30" s="18"/>
      <c r="F30" s="18"/>
      <c r="G30" s="18"/>
      <c r="H30" s="18"/>
      <c r="I30" s="18"/>
      <c r="J30" s="18"/>
      <c r="K30" s="18"/>
      <c r="L30" s="18"/>
      <c r="M30" s="18"/>
      <c r="N30" s="18"/>
      <c r="O30" s="18"/>
      <c r="P30" s="18"/>
      <c r="Q30" s="18"/>
      <c r="R30" s="18"/>
      <c r="S30" s="18"/>
      <c r="T30" s="18"/>
      <c r="U30" s="18"/>
      <c r="V30" s="18"/>
      <c r="W30" s="18"/>
    </row>
  </sheetData>
  <mergeCells count="2">
    <mergeCell ref="A1:W1"/>
    <mergeCell ref="A30:W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4"/>
    <col collapsed="false" customWidth="true" hidden="false" outlineLevel="0" max="2" min="2" style="0" width="18"/>
    <col collapsed="false" customWidth="true" hidden="false" outlineLevel="0" max="3" min="3" style="0" width="12"/>
    <col collapsed="false" customWidth="true" hidden="false" outlineLevel="0" max="4" min="4" style="0" width="14"/>
    <col collapsed="false" customWidth="true" hidden="false" outlineLevel="0" max="5" min="5" style="0" width="20"/>
    <col collapsed="false" customWidth="true" hidden="false" outlineLevel="0" max="6" min="6" style="0" width="12"/>
    <col collapsed="false" customWidth="true" hidden="false" outlineLevel="0" max="7" min="7" style="0" width="14"/>
    <col collapsed="false" customWidth="true" hidden="false" outlineLevel="0" max="8" min="8" style="0" width="10"/>
    <col collapsed="false" customWidth="true" hidden="false" outlineLevel="0" max="9" min="9" style="0" width="8"/>
  </cols>
  <sheetData>
    <row r="1" customFormat="false" ht="25.5" hidden="false" customHeight="true" outlineLevel="0" collapsed="false">
      <c r="A1" s="7" t="s">
        <v>103</v>
      </c>
      <c r="B1" s="7"/>
      <c r="C1" s="7"/>
      <c r="D1" s="7"/>
      <c r="E1" s="7"/>
      <c r="F1" s="7"/>
      <c r="G1" s="7"/>
      <c r="H1" s="7"/>
      <c r="I1" s="7"/>
    </row>
    <row r="3" customFormat="false" ht="30" hidden="false" customHeight="true" outlineLevel="0" collapsed="false">
      <c r="A3" s="25" t="s">
        <v>35</v>
      </c>
      <c r="B3" s="25" t="s">
        <v>36</v>
      </c>
      <c r="C3" s="25" t="s">
        <v>53</v>
      </c>
      <c r="D3" s="25" t="s">
        <v>104</v>
      </c>
      <c r="E3" s="25" t="s">
        <v>105</v>
      </c>
      <c r="F3" s="25" t="s">
        <v>106</v>
      </c>
      <c r="G3" s="25" t="s">
        <v>107</v>
      </c>
      <c r="H3" s="25" t="s">
        <v>108</v>
      </c>
      <c r="I3" s="25" t="s">
        <v>109</v>
      </c>
    </row>
    <row r="4" customFormat="false" ht="15" hidden="false" customHeight="true" outlineLevel="0" collapsed="false">
      <c r="A4" s="9" t="n">
        <v>1</v>
      </c>
      <c r="B4" s="12" t="s">
        <v>40</v>
      </c>
      <c r="C4" s="9" t="n">
        <f aca="false">Players!C4</f>
        <v>18.7</v>
      </c>
      <c r="D4" s="9" t="n">
        <f aca="false">'Rd1 - Eden'!W7</f>
        <v>38</v>
      </c>
      <c r="E4" s="9" t="n">
        <f aca="false">MAX('Rd2 - Old Course'!W7,'Rd2 Alt - Leven'!W7)</f>
        <v>0</v>
      </c>
      <c r="F4" s="9" t="n">
        <f aca="false">'Rd3 - Crail'!W7</f>
        <v>0</v>
      </c>
      <c r="G4" s="9" t="n">
        <f aca="false">'Rd4 - Craigtoun'!W7</f>
        <v>0</v>
      </c>
      <c r="H4" s="17" t="n">
        <f aca="false">SUM(D4:G4)</f>
        <v>38</v>
      </c>
      <c r="I4" s="9" t="n">
        <f aca="false">RANK(H4,$H$4:$H$11,0)</f>
        <v>2</v>
      </c>
    </row>
    <row r="5" customFormat="false" ht="15" hidden="false" customHeight="true" outlineLevel="0" collapsed="false">
      <c r="A5" s="9" t="n">
        <v>2</v>
      </c>
      <c r="B5" s="12" t="s">
        <v>42</v>
      </c>
      <c r="C5" s="9" t="n">
        <f aca="false">Players!C5</f>
        <v>18.5</v>
      </c>
      <c r="D5" s="9" t="n">
        <f aca="false">'Rd1 - Eden'!W10</f>
        <v>39</v>
      </c>
      <c r="E5" s="9" t="n">
        <f aca="false">MAX('Rd2 - Old Course'!W10,'Rd2 Alt - Leven'!W10)</f>
        <v>0</v>
      </c>
      <c r="F5" s="9" t="n">
        <f aca="false">'Rd3 - Crail'!W10</f>
        <v>0</v>
      </c>
      <c r="G5" s="9" t="n">
        <f aca="false">'Rd4 - Craigtoun'!W10</f>
        <v>0</v>
      </c>
      <c r="H5" s="17" t="n">
        <f aca="false">SUM(D5:G5)</f>
        <v>39</v>
      </c>
      <c r="I5" s="9" t="n">
        <f aca="false">RANK(H5,$H$4:$H$11,0)</f>
        <v>1</v>
      </c>
    </row>
    <row r="6" customFormat="false" ht="15" hidden="false" customHeight="true" outlineLevel="0" collapsed="false">
      <c r="A6" s="9" t="n">
        <v>3</v>
      </c>
      <c r="B6" s="12" t="s">
        <v>43</v>
      </c>
      <c r="C6" s="9" t="n">
        <f aca="false">Players!C6</f>
        <v>12</v>
      </c>
      <c r="D6" s="9" t="n">
        <f aca="false">'Rd1 - Eden'!W13</f>
        <v>36</v>
      </c>
      <c r="E6" s="9" t="n">
        <f aca="false">MAX('Rd2 - Old Course'!W13,'Rd2 Alt - Leven'!W13)</f>
        <v>0</v>
      </c>
      <c r="F6" s="9" t="n">
        <f aca="false">'Rd3 - Crail'!W13</f>
        <v>0</v>
      </c>
      <c r="G6" s="9" t="n">
        <f aca="false">'Rd4 - Craigtoun'!W13</f>
        <v>0</v>
      </c>
      <c r="H6" s="17" t="n">
        <f aca="false">SUM(D6:G6)</f>
        <v>36</v>
      </c>
      <c r="I6" s="9" t="n">
        <f aca="false">RANK(H6,$H$4:$H$11,0)</f>
        <v>3</v>
      </c>
    </row>
    <row r="7" customFormat="false" ht="15" hidden="false" customHeight="true" outlineLevel="0" collapsed="false">
      <c r="A7" s="9" t="n">
        <v>4</v>
      </c>
      <c r="B7" s="12" t="s">
        <v>45</v>
      </c>
      <c r="C7" s="9" t="n">
        <f aca="false">Players!C7</f>
        <v>22.5</v>
      </c>
      <c r="D7" s="9" t="n">
        <f aca="false">'Rd1 - Eden'!W16</f>
        <v>33</v>
      </c>
      <c r="E7" s="9" t="n">
        <f aca="false">MAX('Rd2 - Old Course'!W16,'Rd2 Alt - Leven'!W16)</f>
        <v>0</v>
      </c>
      <c r="F7" s="9" t="n">
        <f aca="false">'Rd3 - Crail'!W16</f>
        <v>0</v>
      </c>
      <c r="G7" s="9" t="n">
        <f aca="false">'Rd4 - Craigtoun'!W16</f>
        <v>0</v>
      </c>
      <c r="H7" s="17" t="n">
        <f aca="false">SUM(D7:G7)</f>
        <v>33</v>
      </c>
      <c r="I7" s="9" t="n">
        <f aca="false">RANK(H7,$H$4:$H$11,0)</f>
        <v>7</v>
      </c>
    </row>
    <row r="8" customFormat="false" ht="15" hidden="false" customHeight="true" outlineLevel="0" collapsed="false">
      <c r="A8" s="9" t="n">
        <v>5</v>
      </c>
      <c r="B8" s="12" t="s">
        <v>46</v>
      </c>
      <c r="C8" s="9" t="n">
        <f aca="false">Players!C8</f>
        <v>25.6</v>
      </c>
      <c r="D8" s="9" t="n">
        <f aca="false">'Rd1 - Eden'!W19</f>
        <v>32</v>
      </c>
      <c r="E8" s="9" t="n">
        <f aca="false">MAX('Rd2 - Old Course'!W19,'Rd2 Alt - Leven'!W19)</f>
        <v>0</v>
      </c>
      <c r="F8" s="9" t="n">
        <f aca="false">'Rd3 - Crail'!W19</f>
        <v>0</v>
      </c>
      <c r="G8" s="9" t="n">
        <f aca="false">'Rd4 - Craigtoun'!W19</f>
        <v>0</v>
      </c>
      <c r="H8" s="17" t="n">
        <f aca="false">SUM(D8:G8)</f>
        <v>32</v>
      </c>
      <c r="I8" s="9" t="n">
        <f aca="false">RANK(H8,$H$4:$H$11,0)</f>
        <v>8</v>
      </c>
    </row>
    <row r="9" customFormat="false" ht="15" hidden="false" customHeight="true" outlineLevel="0" collapsed="false">
      <c r="A9" s="9" t="n">
        <v>6</v>
      </c>
      <c r="B9" s="12" t="s">
        <v>47</v>
      </c>
      <c r="C9" s="9" t="n">
        <f aca="false">Players!C9</f>
        <v>18</v>
      </c>
      <c r="D9" s="9" t="n">
        <f aca="false">'Rd1 - Eden'!W22</f>
        <v>34</v>
      </c>
      <c r="E9" s="9" t="n">
        <f aca="false">MAX('Rd2 - Old Course'!W22,'Rd2 Alt - Leven'!W22)</f>
        <v>0</v>
      </c>
      <c r="F9" s="9" t="n">
        <f aca="false">'Rd3 - Crail'!W22</f>
        <v>0</v>
      </c>
      <c r="G9" s="9" t="n">
        <f aca="false">'Rd4 - Craigtoun'!W22</f>
        <v>0</v>
      </c>
      <c r="H9" s="17" t="n">
        <f aca="false">SUM(D9:G9)</f>
        <v>34</v>
      </c>
      <c r="I9" s="9" t="n">
        <f aca="false">RANK(H9,$H$4:$H$11,0)</f>
        <v>6</v>
      </c>
    </row>
    <row r="10" customFormat="false" ht="15" hidden="false" customHeight="true" outlineLevel="0" collapsed="false">
      <c r="A10" s="9" t="n">
        <v>7</v>
      </c>
      <c r="B10" s="12" t="s">
        <v>48</v>
      </c>
      <c r="C10" s="9" t="n">
        <f aca="false">Players!C10</f>
        <v>14.9</v>
      </c>
      <c r="D10" s="9" t="n">
        <f aca="false">'Rd1 - Eden'!W25</f>
        <v>35</v>
      </c>
      <c r="E10" s="9" t="n">
        <f aca="false">MAX('Rd2 - Old Course'!W25,'Rd2 Alt - Leven'!W25)</f>
        <v>0</v>
      </c>
      <c r="F10" s="9" t="n">
        <f aca="false">'Rd3 - Crail'!W25</f>
        <v>0</v>
      </c>
      <c r="G10" s="9" t="n">
        <f aca="false">'Rd4 - Craigtoun'!W25</f>
        <v>0</v>
      </c>
      <c r="H10" s="17" t="n">
        <f aca="false">SUM(D10:G10)</f>
        <v>35</v>
      </c>
      <c r="I10" s="9" t="n">
        <f aca="false">RANK(H10,$H$4:$H$11,0)</f>
        <v>5</v>
      </c>
    </row>
    <row r="11" customFormat="false" ht="15" hidden="false" customHeight="true" outlineLevel="0" collapsed="false">
      <c r="A11" s="9" t="n">
        <v>8</v>
      </c>
      <c r="B11" s="12" t="s">
        <v>49</v>
      </c>
      <c r="C11" s="9" t="n">
        <f aca="false">Players!C11</f>
        <v>25.1</v>
      </c>
      <c r="D11" s="9" t="n">
        <f aca="false">'Rd1 - Eden'!W28</f>
        <v>36</v>
      </c>
      <c r="E11" s="9" t="n">
        <f aca="false">MAX('Rd2 - Old Course'!W28,'Rd2 Alt - Leven'!W28)</f>
        <v>0</v>
      </c>
      <c r="F11" s="9" t="n">
        <f aca="false">'Rd3 - Crail'!W28</f>
        <v>0</v>
      </c>
      <c r="G11" s="9" t="n">
        <f aca="false">'Rd4 - Craigtoun'!W28</f>
        <v>0</v>
      </c>
      <c r="H11" s="17" t="n">
        <f aca="false">SUM(D11:G11)</f>
        <v>36</v>
      </c>
      <c r="I11" s="9" t="n">
        <f aca="false">RANK(H11,$H$4:$H$11,0)</f>
        <v>3</v>
      </c>
    </row>
    <row r="13" customFormat="false" ht="15" hidden="false" customHeight="true" outlineLevel="0" collapsed="false">
      <c r="B13" s="18" t="s">
        <v>110</v>
      </c>
      <c r="C13" s="18"/>
      <c r="D13" s="18"/>
      <c r="E13" s="18"/>
      <c r="F13" s="18"/>
      <c r="G13" s="18"/>
      <c r="H13" s="18"/>
      <c r="I13" s="18"/>
    </row>
  </sheetData>
  <mergeCells count="2">
    <mergeCell ref="A1:I1"/>
    <mergeCell ref="B13:I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2026-07-12T21:28:35Z</dcterms:created>
  <dc:creator>openpyxl</dc:creator>
  <dc:description/>
  <dc:language>en-US</dc:language>
  <cp:lastModifiedBy>Andrew Duggan</cp:lastModifiedBy>
  <dcterms:modified xsi:type="dcterms:W3CDTF">2026-07-15T21:57:33Z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